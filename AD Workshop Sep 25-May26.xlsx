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ari1/Desktop/SARI 2026/AD Workshop 2026/"/>
    </mc:Choice>
  </mc:AlternateContent>
  <xr:revisionPtr revIDLastSave="0" documentId="13_ncr:1_{182520A2-69CE-124F-B9A6-85FD12A5608F}" xr6:coauthVersionLast="36" xr6:coauthVersionMax="36" xr10:uidLastSave="{00000000-0000-0000-0000-000000000000}"/>
  <bookViews>
    <workbookView xWindow="14520" yWindow="0" windowWidth="14280" windowHeight="18000" xr2:uid="{0785AAD0-1870-E840-ADAE-D37A486D98B8}"/>
  </bookViews>
  <sheets>
    <sheet name="ADW Sep 25-May 26" sheetId="1" r:id="rId1"/>
    <sheet name="ADW Sep 25-May26" sheetId="2" r:id="rId2"/>
    <sheet name="Notes"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Z69" i="1" l="1"/>
  <c r="CA69" i="1"/>
  <c r="CB69" i="1"/>
  <c r="CC69" i="1"/>
  <c r="CD69" i="1"/>
  <c r="L69" i="1" l="1"/>
  <c r="EO69" i="1"/>
  <c r="DP60" i="2"/>
  <c r="AO60" i="2"/>
  <c r="AX60" i="2" l="1"/>
  <c r="BH60" i="2"/>
  <c r="BA60" i="2"/>
  <c r="CK60" i="2"/>
  <c r="AY60" i="2"/>
  <c r="FC60" i="2"/>
  <c r="G60" i="2"/>
  <c r="F60" i="2"/>
  <c r="DU69" i="1"/>
  <c r="DT69" i="1"/>
  <c r="DS69" i="1"/>
  <c r="DR69" i="1"/>
  <c r="DQ69" i="1"/>
  <c r="DP69" i="1"/>
  <c r="DO69" i="1"/>
  <c r="DN69" i="1"/>
  <c r="DM69" i="1"/>
  <c r="DL69" i="1"/>
  <c r="DK69" i="1"/>
  <c r="DJ69" i="1"/>
  <c r="DI69" i="1"/>
  <c r="DH69" i="1"/>
  <c r="DG69" i="1"/>
  <c r="DF69" i="1"/>
  <c r="DE69" i="1"/>
  <c r="DD69" i="1"/>
  <c r="DC69" i="1"/>
  <c r="DB69" i="1"/>
  <c r="DA69" i="1"/>
  <c r="CZ69" i="1"/>
  <c r="CY69" i="1"/>
  <c r="CX69" i="1"/>
  <c r="CW69" i="1"/>
  <c r="CV69" i="1"/>
  <c r="CU69" i="1"/>
  <c r="CT69" i="1"/>
  <c r="CS69" i="1"/>
  <c r="CR69" i="1"/>
  <c r="CQ69" i="1"/>
  <c r="CP69" i="1"/>
  <c r="CO69" i="1"/>
  <c r="CN69" i="1"/>
  <c r="CM69" i="1"/>
  <c r="CL69" i="1"/>
  <c r="CK69" i="1"/>
  <c r="CJ69" i="1"/>
  <c r="CI69" i="1"/>
  <c r="CH69" i="1"/>
  <c r="CG69" i="1"/>
  <c r="CF69" i="1"/>
  <c r="CE69" i="1"/>
  <c r="BY69" i="1"/>
  <c r="BX69" i="1"/>
  <c r="BW69" i="1"/>
  <c r="BV69" i="1"/>
  <c r="BU69" i="1"/>
  <c r="BT69" i="1"/>
  <c r="BS69" i="1"/>
  <c r="BR69" i="1"/>
  <c r="BQ69" i="1"/>
  <c r="BP69" i="1"/>
  <c r="BO69" i="1"/>
  <c r="BN69" i="1"/>
  <c r="BM69" i="1"/>
  <c r="BL69" i="1"/>
  <c r="BK69" i="1"/>
  <c r="BJ69" i="1"/>
  <c r="BI69" i="1"/>
  <c r="BH69" i="1"/>
  <c r="BG69" i="1"/>
  <c r="BF69" i="1"/>
  <c r="BE69" i="1"/>
  <c r="BD69" i="1"/>
  <c r="BC69" i="1"/>
  <c r="BB69" i="1"/>
  <c r="BA69" i="1"/>
  <c r="AT69" i="1"/>
  <c r="AS69" i="1"/>
  <c r="AR69" i="1"/>
  <c r="AQ69" i="1"/>
  <c r="AO69" i="1"/>
  <c r="AN69" i="1"/>
  <c r="AM69" i="1"/>
  <c r="AL69" i="1"/>
  <c r="AK69" i="1"/>
  <c r="AJ69" i="1"/>
  <c r="AI69" i="1"/>
  <c r="AH69" i="1"/>
  <c r="AG69" i="1"/>
  <c r="AF69" i="1"/>
  <c r="AE69" i="1"/>
  <c r="AD69" i="1"/>
  <c r="AC69" i="1"/>
  <c r="AA69" i="1"/>
  <c r="Z69" i="1"/>
  <c r="Y69" i="1"/>
  <c r="X69" i="1"/>
  <c r="W69" i="1"/>
  <c r="U69" i="1"/>
  <c r="T69" i="1"/>
  <c r="Q69" i="1"/>
  <c r="P69" i="1"/>
  <c r="O69" i="1"/>
  <c r="N69" i="1"/>
  <c r="K69" i="1"/>
  <c r="I69" i="1"/>
  <c r="H69" i="1"/>
  <c r="G69" i="1"/>
  <c r="F69" i="1"/>
  <c r="E69" i="1"/>
  <c r="BD60" i="2" l="1"/>
  <c r="FL69" i="1"/>
  <c r="GN69" i="1" l="1"/>
  <c r="GX69" i="1"/>
  <c r="FZ69" i="1"/>
  <c r="FM69" i="1" l="1"/>
  <c r="AL60" i="2" l="1"/>
  <c r="EC60" i="2"/>
  <c r="AN60" i="2"/>
  <c r="AA60" i="2"/>
  <c r="BY60" i="2"/>
  <c r="EA60" i="2"/>
  <c r="AF60" i="2"/>
  <c r="GC69" i="1"/>
  <c r="Y60" i="2"/>
  <c r="FQ69" i="1"/>
  <c r="BZ60" i="2"/>
  <c r="J60" i="2"/>
  <c r="DY60" i="2"/>
  <c r="EW69" i="1"/>
  <c r="EU69" i="1"/>
  <c r="FX69" i="1"/>
  <c r="CT60" i="2" l="1"/>
  <c r="CF60" i="2"/>
  <c r="ER69" i="1"/>
  <c r="FV69" i="1"/>
  <c r="FA69" i="1"/>
  <c r="CJ60" i="2"/>
  <c r="DU60" i="2"/>
  <c r="BB60" i="2"/>
  <c r="EE60" i="2"/>
  <c r="AB60" i="2"/>
  <c r="V60" i="2"/>
  <c r="X60" i="2" l="1"/>
  <c r="FB60" i="2"/>
  <c r="S60" i="2"/>
  <c r="FR69" i="1"/>
  <c r="AV69" i="1"/>
  <c r="DT60" i="2"/>
  <c r="BV60" i="2"/>
  <c r="BS60" i="2"/>
  <c r="DA60" i="2"/>
  <c r="AG60" i="2"/>
  <c r="Z60" i="2"/>
  <c r="AD60" i="2"/>
  <c r="AE60" i="2"/>
  <c r="CW60" i="2"/>
  <c r="O60" i="2"/>
  <c r="M60" i="2"/>
  <c r="EY69" i="1"/>
  <c r="FC69" i="1"/>
  <c r="FI69" i="1"/>
  <c r="BM60" i="2"/>
  <c r="DQ60" i="2"/>
  <c r="DR60" i="2"/>
  <c r="FA60" i="2"/>
  <c r="BJ60" i="2"/>
  <c r="AC60" i="2"/>
  <c r="DE60" i="2"/>
  <c r="EG60" i="2"/>
  <c r="DF60" i="2"/>
  <c r="T60" i="2"/>
  <c r="Q60" i="2"/>
  <c r="N60" i="2"/>
  <c r="I60" i="2"/>
  <c r="EN69" i="1"/>
  <c r="EZ69" i="1"/>
  <c r="GB69" i="1"/>
  <c r="FP69" i="1" l="1"/>
  <c r="BG60" i="2"/>
  <c r="DW60" i="2"/>
  <c r="DX60" i="2"/>
  <c r="AU69" i="1"/>
</calcChain>
</file>

<file path=xl/sharedStrings.xml><?xml version="1.0" encoding="utf-8"?>
<sst xmlns="http://schemas.openxmlformats.org/spreadsheetml/2006/main" count="898" uniqueCount="364">
  <si>
    <t>Ques.Reference</t>
  </si>
  <si>
    <t>Date</t>
  </si>
  <si>
    <t>Name of School</t>
  </si>
  <si>
    <t>Location</t>
  </si>
  <si>
    <t>No. Sessions</t>
  </si>
  <si>
    <t>Leinster</t>
  </si>
  <si>
    <t>Munster</t>
  </si>
  <si>
    <t>Connacht </t>
  </si>
  <si>
    <t>Ulster</t>
  </si>
  <si>
    <t>No of teachers</t>
  </si>
  <si>
    <t>No. Participants</t>
  </si>
  <si>
    <t>Gender</t>
  </si>
  <si>
    <t>Coaches</t>
  </si>
  <si>
    <t>Feedback Received</t>
  </si>
  <si>
    <t>Number received</t>
  </si>
  <si>
    <t>Teacher Received</t>
  </si>
  <si>
    <t>Ages</t>
  </si>
  <si>
    <t>Quite Enjoyed</t>
  </si>
  <si>
    <t>Somewhat Enjoyed</t>
  </si>
  <si>
    <t>Did not Enjoy</t>
  </si>
  <si>
    <t>None</t>
  </si>
  <si>
    <t>Check</t>
  </si>
  <si>
    <t>1st &amp; 2nd world Countries</t>
  </si>
  <si>
    <t>3rd World Countries</t>
  </si>
  <si>
    <t>Ireland</t>
  </si>
  <si>
    <t>Northern Ireland</t>
  </si>
  <si>
    <t>Cyprus</t>
  </si>
  <si>
    <t>Poland</t>
  </si>
  <si>
    <t>Scotland</t>
  </si>
  <si>
    <t>Bosnia Her</t>
  </si>
  <si>
    <t>Iceland</t>
  </si>
  <si>
    <t>Lithuania</t>
  </si>
  <si>
    <t>Hungary</t>
  </si>
  <si>
    <t>Germany</t>
  </si>
  <si>
    <t>Georgia</t>
  </si>
  <si>
    <t>England</t>
  </si>
  <si>
    <t>Bulgaria</t>
  </si>
  <si>
    <t>Belgium</t>
  </si>
  <si>
    <t>Italy</t>
  </si>
  <si>
    <t>Serbia</t>
  </si>
  <si>
    <t>Latvia</t>
  </si>
  <si>
    <t>Macedonia</t>
  </si>
  <si>
    <t>Romania</t>
  </si>
  <si>
    <t>Ukraine</t>
  </si>
  <si>
    <t>Greece</t>
  </si>
  <si>
    <t>Netherlands</t>
  </si>
  <si>
    <t>Spain</t>
  </si>
  <si>
    <t>Slovakia</t>
  </si>
  <si>
    <t>France</t>
  </si>
  <si>
    <t>Portugal</t>
  </si>
  <si>
    <t>Wales</t>
  </si>
  <si>
    <t>Finland</t>
  </si>
  <si>
    <t>Belarus</t>
  </si>
  <si>
    <t>Denmark</t>
  </si>
  <si>
    <t>Malta</t>
  </si>
  <si>
    <t>Moldova</t>
  </si>
  <si>
    <t>Sweden</t>
  </si>
  <si>
    <t>Estonia</t>
  </si>
  <si>
    <t>Armenia</t>
  </si>
  <si>
    <t>Albania</t>
  </si>
  <si>
    <t>Czech Republic</t>
  </si>
  <si>
    <t>Croatia</t>
  </si>
  <si>
    <t>Switzerland</t>
  </si>
  <si>
    <t>Norway</t>
  </si>
  <si>
    <t>Slovenia</t>
  </si>
  <si>
    <t>Kosovo</t>
  </si>
  <si>
    <t>Botswana</t>
  </si>
  <si>
    <t>Ethiopia</t>
  </si>
  <si>
    <t>DRC</t>
  </si>
  <si>
    <t>Ghana</t>
  </si>
  <si>
    <t>Senegal</t>
  </si>
  <si>
    <t>Cameroon</t>
  </si>
  <si>
    <t>Nigeria</t>
  </si>
  <si>
    <t>Congo</t>
  </si>
  <si>
    <t>Somalia</t>
  </si>
  <si>
    <t>Eritrea</t>
  </si>
  <si>
    <t>Syria</t>
  </si>
  <si>
    <t>South Africa</t>
  </si>
  <si>
    <t>Zimbabwe</t>
  </si>
  <si>
    <t>Mozambique</t>
  </si>
  <si>
    <t>Mauritius</t>
  </si>
  <si>
    <t>Mongolia</t>
  </si>
  <si>
    <t>Bolivia</t>
  </si>
  <si>
    <t>Palestine</t>
  </si>
  <si>
    <t>Marocco</t>
  </si>
  <si>
    <t>Sudan</t>
  </si>
  <si>
    <t>Angola</t>
  </si>
  <si>
    <t>Zambia</t>
  </si>
  <si>
    <t>Egypt</t>
  </si>
  <si>
    <t>Algeria</t>
  </si>
  <si>
    <t>Libya</t>
  </si>
  <si>
    <t>East Africa</t>
  </si>
  <si>
    <t>Iran</t>
  </si>
  <si>
    <t>Dubai(UAE)</t>
  </si>
  <si>
    <t>Iraq</t>
  </si>
  <si>
    <t>Saudi Arabia</t>
  </si>
  <si>
    <t>Turkey</t>
  </si>
  <si>
    <t>Liberia</t>
  </si>
  <si>
    <t>Lebanon</t>
  </si>
  <si>
    <t>Guinea</t>
  </si>
  <si>
    <t>Lesotho</t>
  </si>
  <si>
    <t>Malawi</t>
  </si>
  <si>
    <t>Kenya</t>
  </si>
  <si>
    <t>Mali</t>
  </si>
  <si>
    <t>Trinidad &amp; Tobago</t>
  </si>
  <si>
    <t>Benin</t>
  </si>
  <si>
    <t>Ivory Coast</t>
  </si>
  <si>
    <t>Tanzania</t>
  </si>
  <si>
    <t>Togo</t>
  </si>
  <si>
    <t>Tunisia</t>
  </si>
  <si>
    <t>Israel</t>
  </si>
  <si>
    <t>Oman</t>
  </si>
  <si>
    <t>Yemen</t>
  </si>
  <si>
    <t>Bahrain</t>
  </si>
  <si>
    <t>Jordan</t>
  </si>
  <si>
    <t>Kuwait</t>
  </si>
  <si>
    <t>Uganda</t>
  </si>
  <si>
    <t>Sierra Leone</t>
  </si>
  <si>
    <t>Ecuador</t>
  </si>
  <si>
    <t>Argentina</t>
  </si>
  <si>
    <t>Uruguay</t>
  </si>
  <si>
    <t>Paraguay</t>
  </si>
  <si>
    <t>Mexico</t>
  </si>
  <si>
    <t>Peru</t>
  </si>
  <si>
    <t>Brazil</t>
  </si>
  <si>
    <t>Columbia</t>
  </si>
  <si>
    <t>Chile</t>
  </si>
  <si>
    <t>USA</t>
  </si>
  <si>
    <t>Canada</t>
  </si>
  <si>
    <t>Jamaica</t>
  </si>
  <si>
    <t>Venezuela</t>
  </si>
  <si>
    <t>Costa Rica</t>
  </si>
  <si>
    <t>Hawai</t>
  </si>
  <si>
    <t>Guatamela</t>
  </si>
  <si>
    <t>Singapore</t>
  </si>
  <si>
    <t>Thailand</t>
  </si>
  <si>
    <t>Vietnam</t>
  </si>
  <si>
    <t>Cambodia</t>
  </si>
  <si>
    <t>Japan</t>
  </si>
  <si>
    <t>Phillipines</t>
  </si>
  <si>
    <t>China</t>
  </si>
  <si>
    <t>Taiwan</t>
  </si>
  <si>
    <t>South Korea</t>
  </si>
  <si>
    <t>India</t>
  </si>
  <si>
    <t>Afghanistan</t>
  </si>
  <si>
    <t>Pakistan</t>
  </si>
  <si>
    <t>Bangladesh</t>
  </si>
  <si>
    <t>Nepal</t>
  </si>
  <si>
    <t>Kazakhstan</t>
  </si>
  <si>
    <t>Qatar</t>
  </si>
  <si>
    <t>Indonasia</t>
  </si>
  <si>
    <t>Malaysia</t>
  </si>
  <si>
    <t>Sri Lanka</t>
  </si>
  <si>
    <t>Russia</t>
  </si>
  <si>
    <t>Kurdistan</t>
  </si>
  <si>
    <t>Australia</t>
  </si>
  <si>
    <t>New Zealand</t>
  </si>
  <si>
    <t>Swaziland</t>
  </si>
  <si>
    <t>Barbados</t>
  </si>
  <si>
    <t>Azerbaijan</t>
  </si>
  <si>
    <t>Myanmar</t>
  </si>
  <si>
    <t>Uzbekistan</t>
  </si>
  <si>
    <t>South Sudan</t>
  </si>
  <si>
    <t>Luxembourg</t>
  </si>
  <si>
    <t>Africa</t>
  </si>
  <si>
    <t>St Vincent</t>
  </si>
  <si>
    <t>Gambia</t>
  </si>
  <si>
    <t>Montenegro</t>
  </si>
  <si>
    <t>Guerensy</t>
  </si>
  <si>
    <t>Laos</t>
  </si>
  <si>
    <t>Namibia</t>
  </si>
  <si>
    <t>Very Much Enjoyed</t>
  </si>
  <si>
    <t>18/+</t>
  </si>
  <si>
    <t>Male</t>
  </si>
  <si>
    <t>Female</t>
  </si>
  <si>
    <t>Other</t>
  </si>
  <si>
    <t>No Gender</t>
  </si>
  <si>
    <t xml:space="preserve">                     No Age</t>
  </si>
  <si>
    <t>Papa New Guinea</t>
  </si>
  <si>
    <t>Cuba</t>
  </si>
  <si>
    <t>Rwanda</t>
  </si>
  <si>
    <t>General Notes</t>
  </si>
  <si>
    <t>No of Teacher</t>
  </si>
  <si>
    <t>No of SNA</t>
  </si>
  <si>
    <t>Students Notes</t>
  </si>
  <si>
    <t>Discrimination Game</t>
  </si>
  <si>
    <t>Language Barrier</t>
  </si>
  <si>
    <t>Pictures Taken</t>
  </si>
  <si>
    <t>19.09.2025</t>
  </si>
  <si>
    <t>Scoil Mhuire</t>
  </si>
  <si>
    <t>Coole, Co.Westmeath</t>
  </si>
  <si>
    <t>Melisa,Zinedin</t>
  </si>
  <si>
    <t>Yes</t>
  </si>
  <si>
    <t>India,Botswana,Nigeria</t>
  </si>
  <si>
    <t>Ireland x7,Ukraine,Georgia</t>
  </si>
  <si>
    <t>Bangladesh,Pakistan,South Africa</t>
  </si>
  <si>
    <t>…</t>
  </si>
  <si>
    <t>2. a,b</t>
  </si>
  <si>
    <t>24.09.2025</t>
  </si>
  <si>
    <t>Canalway ETNS</t>
  </si>
  <si>
    <t>Baslin Lane, The Liberties, Dublin 8</t>
  </si>
  <si>
    <t>Melisa,Teo</t>
  </si>
  <si>
    <t>Ireland x37,Moldova,Australia,Germany,Netherlands,America,England,Slovakia</t>
  </si>
  <si>
    <t>India x2,South Africa x2,Kuwait</t>
  </si>
  <si>
    <t>France x2,Poland x5,Canada,Englandx2,Australia,America,Slovakia,Italy,Hungary,Mauritius,Mauritania</t>
  </si>
  <si>
    <t>China,Phillipines,Palestine</t>
  </si>
  <si>
    <t>Mauritania</t>
  </si>
  <si>
    <t>No</t>
  </si>
  <si>
    <t>India,Venezuela,Iraq,Chile</t>
  </si>
  <si>
    <t>25.09.2025</t>
  </si>
  <si>
    <t>England x4,Germany,Argentina,Lithuania,Portugal,Australia,France x2,Poland,Greece,America,Finland,Peru</t>
  </si>
  <si>
    <t>South Africa,Algeria,Iran,South Korea</t>
  </si>
  <si>
    <t>Melisa,Teo,Raihana</t>
  </si>
  <si>
    <t>30.09.2025</t>
  </si>
  <si>
    <t>Loreto Senior Primary</t>
  </si>
  <si>
    <t xml:space="preserve">Crumlin Rd, Crumlin, Dublin </t>
  </si>
  <si>
    <t>01.10.2025</t>
  </si>
  <si>
    <t>02.10.2025</t>
  </si>
  <si>
    <t>St Kevins CC</t>
  </si>
  <si>
    <t>Fonthill Rd, Clondalkin, Dublin 22</t>
  </si>
  <si>
    <t>03.10.25</t>
  </si>
  <si>
    <t>Beanavin College</t>
  </si>
  <si>
    <t>Ballygall, Dublin 11</t>
  </si>
  <si>
    <t>06.10.2025</t>
  </si>
  <si>
    <t>08.10.2025</t>
  </si>
  <si>
    <t>St Michaels NS</t>
  </si>
  <si>
    <t>Wellmount Rd, Finglas West, Dublin 11</t>
  </si>
  <si>
    <t>Taha,Melisa</t>
  </si>
  <si>
    <t>Ireland x37,Australia,USA</t>
  </si>
  <si>
    <t>Slovakia,Belgium,Finland,UK,Poland x2,Romania x2</t>
  </si>
  <si>
    <t>UK</t>
  </si>
  <si>
    <t>Blue team passed to captain because they knew the game was unfair</t>
  </si>
  <si>
    <t>Ireland x32,Moldova,Portugal,England,Latvia,Vietnam,Romania</t>
  </si>
  <si>
    <t>Melisa,Zinedin,Raihana</t>
  </si>
  <si>
    <t>Zinedin,Teo</t>
  </si>
  <si>
    <t>13.10.2025</t>
  </si>
  <si>
    <t>Citywest &amp; Saggart CNS</t>
  </si>
  <si>
    <t>Citywest Dr,Citywest, Dublin</t>
  </si>
  <si>
    <t>14.10.2025</t>
  </si>
  <si>
    <t>15.10.2025</t>
  </si>
  <si>
    <t>Scoil Iosagain</t>
  </si>
  <si>
    <t>Aughavannagh Rd, Crumlin</t>
  </si>
  <si>
    <t>16.10.2025</t>
  </si>
  <si>
    <t>St Peters National School</t>
  </si>
  <si>
    <t>St Peters Church Phibsbourough Rd, Dublin 7</t>
  </si>
  <si>
    <t>Melisa,Zinedin,Teo</t>
  </si>
  <si>
    <t>17.10.2025</t>
  </si>
  <si>
    <t>20.10.2025</t>
  </si>
  <si>
    <t>St Marys Secondary School</t>
  </si>
  <si>
    <t>23.10.2025</t>
  </si>
  <si>
    <t>St Patricks Secondary School</t>
  </si>
  <si>
    <t>Cullies, Co.cavan</t>
  </si>
  <si>
    <t>24.10.2025</t>
  </si>
  <si>
    <t>Zinedin,Taha</t>
  </si>
  <si>
    <t>India x7</t>
  </si>
  <si>
    <t>Latvia,Slovakia,Spain x2,Russia,Poland x3,Romania x2,England x2, Nothern Ireland</t>
  </si>
  <si>
    <t>Nigeria,India x3,Ivory Coast,Bangladesh</t>
  </si>
  <si>
    <t>Ireland x27,Romania x4,Moldova,Canada,France,Georgia</t>
  </si>
  <si>
    <t>India x4,Qatar,Argentina,Saudi Arabia</t>
  </si>
  <si>
    <t>Poland x3,Romania,Mauritius,Phillipines</t>
  </si>
  <si>
    <t>India x6,Kenya,China x4,Uganda,Pakistan</t>
  </si>
  <si>
    <t>03.11.2025</t>
  </si>
  <si>
    <t>Holy Family NS</t>
  </si>
  <si>
    <t>04.11.2025</t>
  </si>
  <si>
    <t>06.11.2025</t>
  </si>
  <si>
    <t>Corpus Christi</t>
  </si>
  <si>
    <t>Melisa,Zinedin,Hanad</t>
  </si>
  <si>
    <t>07.11.2025</t>
  </si>
  <si>
    <t>Scoil Chormaic CNS</t>
  </si>
  <si>
    <t>10.11.2025</t>
  </si>
  <si>
    <t>Kilkeny City Vocational School</t>
  </si>
  <si>
    <t>Teo,Taha</t>
  </si>
  <si>
    <t>13.11.2025</t>
  </si>
  <si>
    <t>Scoil Na Mainstreach</t>
  </si>
  <si>
    <t>Sli Ectra, Ballina, Co.Mayo</t>
  </si>
  <si>
    <t>Ireland x76,Malaysia,Mexico,Brazil,Ukraine,Italy,England</t>
  </si>
  <si>
    <t>Nepal,Englandx9, Polandx3,Australia,Scotlandx2,Turkey,Pakistan</t>
  </si>
  <si>
    <t>Ireland x47,Ukraine</t>
  </si>
  <si>
    <t>Ireland x61,England x2,Vietnam,Spain,Saudi Arabia,Australia,Poland</t>
  </si>
  <si>
    <t>Nigeria,Congo,India x2,Afghanistan</t>
  </si>
  <si>
    <t>England x7,Ireland x2,Slovakia,Pakistan,Ukraine,Latvia,Poland x2</t>
  </si>
  <si>
    <t>India x2,Nigeria</t>
  </si>
  <si>
    <t>Ireland x59,Hungary,Egypt,New Zealand,Switzerland</t>
  </si>
  <si>
    <t>Botswana,India x2,Zimbabwe,Congo</t>
  </si>
  <si>
    <t>America,Wales,Poland,Slovakia,Latvia,Qatar,Saudi Arabia,Lithuania,England</t>
  </si>
  <si>
    <t>South Africa,India</t>
  </si>
  <si>
    <t>Ireland x55,Moldova x3, Ukraine x5, Portugal, Brazil, England, Pakistan</t>
  </si>
  <si>
    <t>India x2</t>
  </si>
  <si>
    <t>Rathcoole, Co.Dublin</t>
  </si>
  <si>
    <t>UK x2, Ukraine, America, Netherlands,Romania x2,Australia,France x2,Portugsl,Armenia,England,Lithuania,Poland,Scotland</t>
  </si>
  <si>
    <t>China x3,South Africa x2,India</t>
  </si>
  <si>
    <t>Ireland x87,Belgium</t>
  </si>
  <si>
    <t>Lithuania x2,America x2,England,Bangladesh,Poland x3,Malaysia,Germany,Scotland,Sweden,Phillipines,Australia,Italy</t>
  </si>
  <si>
    <t>India x5, China x3, South Africa, Nigeria</t>
  </si>
  <si>
    <t>Homefarm Rd, Drumcondra, Dublin 9</t>
  </si>
  <si>
    <t>Ireland x43,Ukraine, Americ, Australia, England, New Zealand, Poland</t>
  </si>
  <si>
    <t>China, India</t>
  </si>
  <si>
    <t>Ireland x2, America, Phillipines, Russia, Ukraine</t>
  </si>
  <si>
    <t>China x3</t>
  </si>
  <si>
    <t>Rahcoole, Co.Dublin</t>
  </si>
  <si>
    <t>One Lad did not want to diclose his nationality</t>
  </si>
  <si>
    <t>2 lads stayed in thre game but passed to their captsains</t>
  </si>
  <si>
    <t>Teacher concerned about pupils from other countries that are new here not communicating with how they are academically or if they have traum. Parents not giving this information and teachers do not have required training for these circumstances.</t>
  </si>
  <si>
    <t>11.11.2025</t>
  </si>
  <si>
    <t>St Patricks NS</t>
  </si>
  <si>
    <t>Ballyroebuck Co. Wexford</t>
  </si>
  <si>
    <t>1 sub teacher</t>
  </si>
  <si>
    <t>St Kevins GNS</t>
  </si>
  <si>
    <t>2+1 sna</t>
  </si>
  <si>
    <t>Clogher CC</t>
  </si>
  <si>
    <t>Rathcoole ETNS</t>
  </si>
  <si>
    <t>14.11.2025</t>
  </si>
  <si>
    <t>20.11.2025</t>
  </si>
  <si>
    <t>21.11.2025</t>
  </si>
  <si>
    <t>24.11.2025</t>
  </si>
  <si>
    <t>CBC Monkstown</t>
  </si>
  <si>
    <t>25.11.2025</t>
  </si>
  <si>
    <t>Corpus Christi GNS</t>
  </si>
  <si>
    <t>27.11.2025</t>
  </si>
  <si>
    <t>Mary Mother of Hope SNS</t>
  </si>
  <si>
    <t>28.11.2025</t>
  </si>
  <si>
    <t>04.12.2025</t>
  </si>
  <si>
    <t>Malahide/Portmarnock ETNS</t>
  </si>
  <si>
    <t>05.12.2025</t>
  </si>
  <si>
    <t>3+2 sna</t>
  </si>
  <si>
    <t>08.12.2025</t>
  </si>
  <si>
    <t>09.12.2025</t>
  </si>
  <si>
    <t>Scoil Aonghusa Junior School</t>
  </si>
  <si>
    <t>11.12.2025</t>
  </si>
  <si>
    <t>Lindsey Road NS</t>
  </si>
  <si>
    <t>12.12.2025</t>
  </si>
  <si>
    <t>TCS Kilclare</t>
  </si>
  <si>
    <t>15.12.2025</t>
  </si>
  <si>
    <t>Merlin College</t>
  </si>
  <si>
    <t xml:space="preserve">16.12.2025 </t>
  </si>
  <si>
    <t>17.12.2025</t>
  </si>
  <si>
    <t>Stepasisde ETNS</t>
  </si>
  <si>
    <t>India,Pakistan x2,Nigeria x2, Congo x2, Burundi,Gambia</t>
  </si>
  <si>
    <t>Ireland x17, Ukraine,Russia,USA</t>
  </si>
  <si>
    <t>Burundi</t>
  </si>
  <si>
    <t>Romania x3, England</t>
  </si>
  <si>
    <t>Ireland x38,Italy x2,Sweden,Dubai,USA,Phillipines,Romania x2,Moldova,Brazil</t>
  </si>
  <si>
    <t>India x3</t>
  </si>
  <si>
    <t>Poland x2,USA,Romania x6,Slovakia,Liyhuania,Italy,Phillipines,Mauritius,England</t>
  </si>
  <si>
    <t>Pakistan,Somalia,Kenya,India x3</t>
  </si>
  <si>
    <t>Hanad Shadowing</t>
  </si>
  <si>
    <t>Stephenstown, Ballbriggan</t>
  </si>
  <si>
    <t>Ireland x56, Sweden, Pakistan x2, Syria, Croatia, Lithuania, Romania, Qatar, Poland, Ukraine, Hungary</t>
  </si>
  <si>
    <t>Stephenstown, Balbriggan</t>
  </si>
  <si>
    <t>Treepark Dr, Kilnamanagh, Dublin 24</t>
  </si>
  <si>
    <t>Ireland x49, Spain. Serbia</t>
  </si>
  <si>
    <t>Poland x2, England x3, Latvia</t>
  </si>
  <si>
    <t>Ireland x37, Ukraine, Spain, England</t>
  </si>
  <si>
    <t>India x2, China</t>
  </si>
  <si>
    <t>Wales x2, Scotland x2, Italy, Irelnad</t>
  </si>
  <si>
    <t>Follow Up</t>
  </si>
  <si>
    <t>Lindsey Rd, Glasnevin, Dublin 9</t>
  </si>
  <si>
    <t>1+1sna</t>
  </si>
  <si>
    <t>Melisa,Hanad</t>
  </si>
  <si>
    <t>Ireland x22, England</t>
  </si>
  <si>
    <t>England x2, Albania, Japan, Scotland, USA, Latvia</t>
  </si>
  <si>
    <t>Ballyogan Rd, Murphystown, Dublin 18</t>
  </si>
  <si>
    <t>Ireland x8, Russia</t>
  </si>
  <si>
    <t>Pakistan,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</si>
</sst>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b/>
      <sz val="10"/>
      <color theme="1"/>
      <name val="Times Roman"/>
    </font>
    <font>
      <sz val="10"/>
      <color theme="1"/>
      <name val="Times Roman"/>
    </font>
    <font>
      <sz val="12"/>
      <color theme="1"/>
      <name val="Times Roman"/>
    </font>
    <font>
      <b/>
      <sz val="11"/>
      <color theme="1"/>
      <name val="Times Roman"/>
    </font>
    <font>
      <b/>
      <sz val="12"/>
      <color theme="1"/>
      <name val="Times Roman"/>
    </font>
    <font>
      <b/>
      <sz val="12"/>
      <color theme="1"/>
      <name val="Calibri"/>
      <family val="2"/>
      <scheme val="minor"/>
    </font>
    <font>
      <sz val="12"/>
      <color rgb="FFFF0000"/>
      <name val="Calibri"/>
      <family val="2"/>
      <scheme val="minor"/>
    </font>
    <font>
      <sz val="12"/>
      <color rgb="FF000000"/>
      <name val="Times Roman"/>
    </font>
  </fonts>
  <fills count="3">
    <fill>
      <patternFill patternType="none"/>
    </fill>
    <fill>
      <patternFill patternType="gray125"/>
    </fill>
    <fill>
      <patternFill patternType="solid">
        <fgColor theme="7" tint="0.39997558519241921"/>
        <bgColor indexed="64"/>
      </patternFill>
    </fill>
  </fills>
  <borders count="8">
    <border>
      <left/>
      <right/>
      <top/>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s>
  <cellStyleXfs count="1">
    <xf numFmtId="0" fontId="0" fillId="0" borderId="0"/>
  </cellStyleXfs>
  <cellXfs count="40">
    <xf numFmtId="0" fontId="0" fillId="0" borderId="0" xfId="0"/>
    <xf numFmtId="0" fontId="1" fillId="0" borderId="0" xfId="0" applyFont="1" applyAlignment="1" applyProtection="1">
      <protection locked="0"/>
    </xf>
    <xf numFmtId="0" fontId="1" fillId="0" borderId="0" xfId="0" applyFont="1" applyProtection="1">
      <protection locked="0"/>
    </xf>
    <xf numFmtId="0" fontId="1" fillId="0" borderId="0" xfId="0" applyFont="1" applyFill="1" applyProtection="1">
      <protection locked="0"/>
    </xf>
    <xf numFmtId="0" fontId="2" fillId="0" borderId="0" xfId="0" applyFont="1" applyProtection="1">
      <protection locked="0"/>
    </xf>
    <xf numFmtId="0" fontId="1" fillId="0" borderId="0" xfId="0" applyFont="1" applyAlignment="1" applyProtection="1">
      <alignment horizontal="center"/>
      <protection locked="0"/>
    </xf>
    <xf numFmtId="0" fontId="3" fillId="0" borderId="0" xfId="0" applyFont="1" applyProtection="1">
      <protection locked="0"/>
    </xf>
    <xf numFmtId="0" fontId="4" fillId="0" borderId="0" xfId="0" applyFont="1" applyProtection="1">
      <protection locked="0"/>
    </xf>
    <xf numFmtId="0" fontId="1" fillId="2" borderId="0" xfId="0" applyFont="1" applyFill="1" applyProtection="1">
      <protection locked="0"/>
    </xf>
    <xf numFmtId="0" fontId="1" fillId="0" borderId="0" xfId="0" applyFont="1"/>
    <xf numFmtId="0" fontId="5" fillId="0" borderId="0" xfId="0" applyFont="1" applyAlignment="1" applyProtection="1">
      <alignment horizontal="center"/>
      <protection locked="0"/>
    </xf>
    <xf numFmtId="0" fontId="5" fillId="0" borderId="0" xfId="0" applyFont="1" applyAlignment="1">
      <alignment horizontal="center"/>
    </xf>
    <xf numFmtId="0" fontId="5" fillId="0" borderId="0" xfId="0" applyFont="1"/>
    <xf numFmtId="0" fontId="3" fillId="0" borderId="0" xfId="0" applyFont="1"/>
    <xf numFmtId="0" fontId="3" fillId="0" borderId="0" xfId="0" applyFont="1" applyAlignment="1" applyProtection="1">
      <alignment horizontal="center"/>
      <protection locked="0"/>
    </xf>
    <xf numFmtId="0" fontId="1" fillId="0" borderId="0" xfId="0" applyFont="1" applyAlignment="1" applyProtection="1">
      <alignment horizontal="right"/>
      <protection locked="0"/>
    </xf>
    <xf numFmtId="0" fontId="1" fillId="0" borderId="0" xfId="0" applyFont="1" applyAlignment="1">
      <alignment horizontal="center"/>
    </xf>
    <xf numFmtId="0" fontId="0" fillId="0" borderId="3" xfId="0" applyBorder="1"/>
    <xf numFmtId="0" fontId="0" fillId="0" borderId="4" xfId="0" applyBorder="1"/>
    <xf numFmtId="0" fontId="0" fillId="0" borderId="5" xfId="0" applyBorder="1"/>
    <xf numFmtId="0" fontId="7" fillId="0" borderId="0" xfId="0" applyFont="1" applyAlignment="1">
      <alignment horizontal="left"/>
    </xf>
    <xf numFmtId="0" fontId="2" fillId="0" borderId="0" xfId="0" applyFont="1" applyAlignment="1" applyProtection="1">
      <alignment horizontal="center"/>
      <protection locked="0"/>
    </xf>
    <xf numFmtId="0" fontId="6" fillId="0" borderId="0" xfId="0" applyFont="1"/>
    <xf numFmtId="0" fontId="0" fillId="0" borderId="0" xfId="0" applyBorder="1"/>
    <xf numFmtId="0" fontId="0" fillId="0" borderId="1" xfId="0" applyBorder="1"/>
    <xf numFmtId="0" fontId="0" fillId="0" borderId="6" xfId="0" applyBorder="1"/>
    <xf numFmtId="0" fontId="0" fillId="0" borderId="0" xfId="0" applyFont="1" applyAlignment="1">
      <alignment horizontal="left"/>
    </xf>
    <xf numFmtId="0" fontId="0" fillId="0" borderId="0" xfId="0" applyFont="1"/>
    <xf numFmtId="0" fontId="8" fillId="0" borderId="0" xfId="0" applyFont="1"/>
    <xf numFmtId="0" fontId="6" fillId="0" borderId="4" xfId="0" applyFont="1" applyBorder="1"/>
    <xf numFmtId="0" fontId="0" fillId="0" borderId="0" xfId="0" applyFill="1" applyBorder="1"/>
    <xf numFmtId="0" fontId="6" fillId="0" borderId="0" xfId="0" applyFont="1" applyFill="1" applyBorder="1"/>
    <xf numFmtId="0" fontId="6" fillId="0" borderId="5" xfId="0" applyFont="1" applyBorder="1"/>
    <xf numFmtId="0" fontId="0" fillId="0" borderId="2" xfId="0" applyBorder="1"/>
    <xf numFmtId="0" fontId="0" fillId="0" borderId="0" xfId="0" applyFont="1" applyBorder="1"/>
    <xf numFmtId="0" fontId="0" fillId="0" borderId="0" xfId="0" applyFont="1" applyFill="1" applyBorder="1"/>
    <xf numFmtId="0" fontId="0" fillId="0" borderId="7" xfId="0" applyBorder="1"/>
    <xf numFmtId="17" fontId="5" fillId="0" borderId="0" xfId="0" applyNumberFormat="1" applyFont="1" applyAlignment="1">
      <alignment horizontal="center"/>
    </xf>
    <xf numFmtId="17" fontId="6" fillId="0" borderId="0" xfId="0" applyNumberFormat="1" applyFont="1" applyAlignment="1">
      <alignment horizontal="center"/>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2C408-4949-EC48-8C83-3CD08A4C1777}">
  <dimension ref="A1:GX70"/>
  <sheetViews>
    <sheetView tabSelected="1" zoomScale="75" workbookViewId="0">
      <selection activeCell="A16" sqref="A16"/>
    </sheetView>
  </sheetViews>
  <sheetFormatPr baseColWidth="10" defaultRowHeight="16"/>
  <cols>
    <col min="3" max="3" width="22.5" customWidth="1"/>
    <col min="4" max="4" width="29.5" customWidth="1"/>
    <col min="5" max="5" width="17.5" customWidth="1"/>
    <col min="11" max="11" width="18.83203125" customWidth="1"/>
    <col min="12" max="12" width="16" customWidth="1"/>
    <col min="13" max="13" width="3.33203125" customWidth="1"/>
    <col min="18" max="18" width="22.33203125" customWidth="1"/>
    <col min="19" max="19" width="19.1640625" customWidth="1"/>
    <col min="20" max="20" width="16.33203125" customWidth="1"/>
    <col min="21" max="21" width="17.6640625" customWidth="1"/>
    <col min="22" max="22" width="2.83203125" customWidth="1"/>
    <col min="43" max="43" width="17" customWidth="1"/>
    <col min="44" max="44" width="13.83203125" customWidth="1"/>
    <col min="45" max="45" width="17.5" customWidth="1"/>
    <col min="46" max="46" width="13.83203125" customWidth="1"/>
    <col min="50" max="50" width="23" customWidth="1"/>
    <col min="51" max="51" width="32.33203125" customWidth="1"/>
    <col min="52" max="52" width="19.1640625" customWidth="1"/>
    <col min="54" max="54" width="15" customWidth="1"/>
    <col min="89" max="89" width="12.6640625" customWidth="1"/>
    <col min="199" max="199" width="9.33203125" customWidth="1"/>
    <col min="201" max="201" width="13.83203125" customWidth="1"/>
  </cols>
  <sheetData>
    <row r="1" spans="1:206">
      <c r="A1" s="1" t="s">
        <v>0</v>
      </c>
      <c r="B1" s="2" t="s">
        <v>1</v>
      </c>
      <c r="C1" s="3" t="s">
        <v>2</v>
      </c>
      <c r="D1" s="2" t="s">
        <v>3</v>
      </c>
      <c r="E1" s="2" t="s">
        <v>4</v>
      </c>
      <c r="F1" s="2" t="s">
        <v>5</v>
      </c>
      <c r="G1" s="2" t="s">
        <v>6</v>
      </c>
      <c r="H1" s="2" t="s">
        <v>7</v>
      </c>
      <c r="I1" s="2" t="s">
        <v>8</v>
      </c>
      <c r="J1" s="2"/>
      <c r="K1" s="2" t="s">
        <v>9</v>
      </c>
      <c r="L1" s="2" t="s">
        <v>10</v>
      </c>
      <c r="M1" s="2"/>
      <c r="N1" s="2" t="s">
        <v>11</v>
      </c>
      <c r="O1" s="2"/>
      <c r="P1" s="4"/>
      <c r="Q1" s="2"/>
      <c r="R1" s="2" t="s">
        <v>12</v>
      </c>
      <c r="S1" s="5" t="s">
        <v>13</v>
      </c>
      <c r="T1" s="2" t="s">
        <v>14</v>
      </c>
      <c r="U1" s="2" t="s">
        <v>15</v>
      </c>
      <c r="V1" s="2"/>
      <c r="W1" s="6"/>
      <c r="X1" s="2"/>
      <c r="Y1" s="2"/>
      <c r="Z1" s="2"/>
      <c r="AA1" s="2"/>
      <c r="AB1" s="2"/>
      <c r="AC1" s="2"/>
      <c r="AD1" s="2"/>
      <c r="AE1" s="2"/>
      <c r="AF1" s="2" t="s">
        <v>16</v>
      </c>
      <c r="AG1" s="2"/>
      <c r="AH1" s="2"/>
      <c r="AI1" s="2"/>
      <c r="AJ1" s="2"/>
      <c r="AK1" s="2"/>
      <c r="AL1" s="2"/>
      <c r="AM1" s="2"/>
      <c r="AN1" s="2"/>
      <c r="AO1" s="2"/>
      <c r="AP1" s="2"/>
      <c r="AQ1" s="2" t="s">
        <v>171</v>
      </c>
      <c r="AR1" s="2" t="s">
        <v>17</v>
      </c>
      <c r="AS1" s="2" t="s">
        <v>18</v>
      </c>
      <c r="AT1" s="2" t="s">
        <v>19</v>
      </c>
      <c r="AU1" s="2" t="s">
        <v>20</v>
      </c>
      <c r="AV1" s="2" t="s">
        <v>21</v>
      </c>
      <c r="AW1" s="4"/>
      <c r="AX1" s="2" t="s">
        <v>22</v>
      </c>
      <c r="AY1" s="2" t="s">
        <v>23</v>
      </c>
      <c r="AZ1" s="2"/>
      <c r="BA1" s="2" t="s">
        <v>24</v>
      </c>
      <c r="BB1" s="2" t="s">
        <v>25</v>
      </c>
      <c r="BC1" s="2" t="s">
        <v>26</v>
      </c>
      <c r="BD1" s="2" t="s">
        <v>27</v>
      </c>
      <c r="BE1" s="2" t="s">
        <v>28</v>
      </c>
      <c r="BF1" s="2" t="s">
        <v>29</v>
      </c>
      <c r="BG1" s="2" t="s">
        <v>30</v>
      </c>
      <c r="BH1" s="2" t="s">
        <v>31</v>
      </c>
      <c r="BI1" s="2" t="s">
        <v>32</v>
      </c>
      <c r="BJ1" s="2" t="s">
        <v>33</v>
      </c>
      <c r="BK1" s="2" t="s">
        <v>34</v>
      </c>
      <c r="BL1" s="2" t="s">
        <v>35</v>
      </c>
      <c r="BM1" s="2" t="s">
        <v>36</v>
      </c>
      <c r="BN1" s="2" t="s">
        <v>37</v>
      </c>
      <c r="BO1" s="2" t="s">
        <v>38</v>
      </c>
      <c r="BP1" s="2" t="s">
        <v>39</v>
      </c>
      <c r="BQ1" s="2" t="s">
        <v>40</v>
      </c>
      <c r="BR1" s="2" t="s">
        <v>41</v>
      </c>
      <c r="BS1" s="2" t="s">
        <v>42</v>
      </c>
      <c r="BT1" s="2" t="s">
        <v>43</v>
      </c>
      <c r="BU1" s="2" t="s">
        <v>44</v>
      </c>
      <c r="BV1" s="2" t="s">
        <v>45</v>
      </c>
      <c r="BW1" s="2" t="s">
        <v>46</v>
      </c>
      <c r="BX1" s="2" t="s">
        <v>47</v>
      </c>
      <c r="BY1" s="2" t="s">
        <v>48</v>
      </c>
      <c r="BZ1" s="2" t="s">
        <v>49</v>
      </c>
      <c r="CA1" s="2" t="s">
        <v>50</v>
      </c>
      <c r="CB1" s="2" t="s">
        <v>51</v>
      </c>
      <c r="CC1" s="2" t="s">
        <v>52</v>
      </c>
      <c r="CD1" s="2" t="s">
        <v>53</v>
      </c>
      <c r="CE1" s="2" t="s">
        <v>54</v>
      </c>
      <c r="CF1" s="2" t="s">
        <v>55</v>
      </c>
      <c r="CG1" s="2" t="s">
        <v>56</v>
      </c>
      <c r="CH1" s="7" t="s">
        <v>57</v>
      </c>
      <c r="CI1" s="7" t="s">
        <v>58</v>
      </c>
      <c r="CJ1" s="2" t="s">
        <v>59</v>
      </c>
      <c r="CK1" s="2" t="s">
        <v>60</v>
      </c>
      <c r="CL1" s="2" t="s">
        <v>61</v>
      </c>
      <c r="CM1" s="2" t="s">
        <v>62</v>
      </c>
      <c r="CN1" s="2" t="s">
        <v>63</v>
      </c>
      <c r="CO1" s="2" t="s">
        <v>64</v>
      </c>
      <c r="CP1" s="2" t="s">
        <v>65</v>
      </c>
      <c r="CQ1" s="2" t="s">
        <v>66</v>
      </c>
      <c r="CR1" s="2" t="s">
        <v>67</v>
      </c>
      <c r="CS1" s="2" t="s">
        <v>68</v>
      </c>
      <c r="CT1" s="2" t="s">
        <v>69</v>
      </c>
      <c r="CU1" s="2" t="s">
        <v>70</v>
      </c>
      <c r="CV1" s="2" t="s">
        <v>71</v>
      </c>
      <c r="CW1" s="2" t="s">
        <v>72</v>
      </c>
      <c r="CX1" s="2" t="s">
        <v>73</v>
      </c>
      <c r="CY1" s="2" t="s">
        <v>74</v>
      </c>
      <c r="CZ1" s="2" t="s">
        <v>75</v>
      </c>
      <c r="DA1" s="2" t="s">
        <v>76</v>
      </c>
      <c r="DB1" s="8" t="s">
        <v>77</v>
      </c>
      <c r="DC1" s="2" t="s">
        <v>78</v>
      </c>
      <c r="DD1" s="2" t="s">
        <v>79</v>
      </c>
      <c r="DE1" s="2" t="s">
        <v>80</v>
      </c>
      <c r="DF1" s="2" t="s">
        <v>81</v>
      </c>
      <c r="DG1" s="2" t="s">
        <v>82</v>
      </c>
      <c r="DH1" s="2" t="s">
        <v>83</v>
      </c>
      <c r="DI1" s="2" t="s">
        <v>84</v>
      </c>
      <c r="DJ1" s="2" t="s">
        <v>85</v>
      </c>
      <c r="DK1" s="2" t="s">
        <v>86</v>
      </c>
      <c r="DL1" s="2" t="s">
        <v>87</v>
      </c>
      <c r="DM1" s="2" t="s">
        <v>88</v>
      </c>
      <c r="DN1" s="2" t="s">
        <v>89</v>
      </c>
      <c r="DO1" s="2" t="s">
        <v>90</v>
      </c>
      <c r="DP1" s="2" t="s">
        <v>91</v>
      </c>
      <c r="DQ1" s="2" t="s">
        <v>92</v>
      </c>
      <c r="DR1" s="8" t="s">
        <v>93</v>
      </c>
      <c r="DS1" s="2" t="s">
        <v>94</v>
      </c>
      <c r="DT1" s="8" t="s">
        <v>95</v>
      </c>
      <c r="DU1" s="8" t="s">
        <v>96</v>
      </c>
      <c r="DV1" s="2" t="s">
        <v>97</v>
      </c>
      <c r="DW1" s="2" t="s">
        <v>98</v>
      </c>
      <c r="DX1" s="2" t="s">
        <v>99</v>
      </c>
      <c r="DY1" s="2" t="s">
        <v>100</v>
      </c>
      <c r="DZ1" s="2" t="s">
        <v>101</v>
      </c>
      <c r="EA1" s="2" t="s">
        <v>102</v>
      </c>
      <c r="EB1" s="2" t="s">
        <v>103</v>
      </c>
      <c r="EC1" s="2" t="s">
        <v>104</v>
      </c>
      <c r="ED1" s="2" t="s">
        <v>105</v>
      </c>
      <c r="EE1" s="2" t="s">
        <v>106</v>
      </c>
      <c r="EF1" s="2" t="s">
        <v>107</v>
      </c>
      <c r="EG1" s="9" t="s">
        <v>108</v>
      </c>
      <c r="EH1" s="2" t="s">
        <v>109</v>
      </c>
      <c r="EI1" s="8" t="s">
        <v>110</v>
      </c>
      <c r="EJ1" s="2" t="s">
        <v>111</v>
      </c>
      <c r="EK1" s="2" t="s">
        <v>112</v>
      </c>
      <c r="EL1" s="2" t="s">
        <v>113</v>
      </c>
      <c r="EM1" s="2" t="s">
        <v>114</v>
      </c>
      <c r="EN1" s="2" t="s">
        <v>115</v>
      </c>
      <c r="EO1" s="2" t="s">
        <v>116</v>
      </c>
      <c r="EP1" s="2" t="s">
        <v>117</v>
      </c>
      <c r="EQ1" s="2" t="s">
        <v>118</v>
      </c>
      <c r="ER1" s="2" t="s">
        <v>119</v>
      </c>
      <c r="ES1" s="2" t="s">
        <v>120</v>
      </c>
      <c r="ET1" s="2" t="s">
        <v>121</v>
      </c>
      <c r="EU1" s="2" t="s">
        <v>122</v>
      </c>
      <c r="EV1" s="2" t="s">
        <v>123</v>
      </c>
      <c r="EW1" s="2" t="s">
        <v>124</v>
      </c>
      <c r="EX1" s="2" t="s">
        <v>125</v>
      </c>
      <c r="EY1" s="2" t="s">
        <v>126</v>
      </c>
      <c r="EZ1" s="8" t="s">
        <v>127</v>
      </c>
      <c r="FA1" s="8" t="s">
        <v>128</v>
      </c>
      <c r="FB1" s="2" t="s">
        <v>129</v>
      </c>
      <c r="FC1" s="8" t="s">
        <v>130</v>
      </c>
      <c r="FD1" s="2" t="s">
        <v>131</v>
      </c>
      <c r="FE1" s="2" t="s">
        <v>132</v>
      </c>
      <c r="FF1" s="2" t="s">
        <v>133</v>
      </c>
      <c r="FG1" s="2" t="s">
        <v>134</v>
      </c>
      <c r="FH1" s="2" t="s">
        <v>135</v>
      </c>
      <c r="FI1" s="2" t="s">
        <v>136</v>
      </c>
      <c r="FJ1" s="2" t="s">
        <v>137</v>
      </c>
      <c r="FK1" s="8" t="s">
        <v>138</v>
      </c>
      <c r="FL1" s="2" t="s">
        <v>139</v>
      </c>
      <c r="FM1" s="2" t="s">
        <v>140</v>
      </c>
      <c r="FN1" s="2" t="s">
        <v>141</v>
      </c>
      <c r="FO1" s="8" t="s">
        <v>142</v>
      </c>
      <c r="FP1" s="2" t="s">
        <v>143</v>
      </c>
      <c r="FQ1" s="2" t="s">
        <v>144</v>
      </c>
      <c r="FR1" s="2" t="s">
        <v>145</v>
      </c>
      <c r="FS1" s="2" t="s">
        <v>146</v>
      </c>
      <c r="FT1" s="2" t="s">
        <v>147</v>
      </c>
      <c r="FU1" s="2" t="s">
        <v>148</v>
      </c>
      <c r="FV1" s="8" t="s">
        <v>149</v>
      </c>
      <c r="FW1" s="2" t="s">
        <v>150</v>
      </c>
      <c r="FX1" s="2" t="s">
        <v>151</v>
      </c>
      <c r="FY1" s="2" t="s">
        <v>152</v>
      </c>
      <c r="FZ1" s="8" t="s">
        <v>153</v>
      </c>
      <c r="GA1" s="2" t="s">
        <v>154</v>
      </c>
      <c r="GB1" s="8" t="s">
        <v>155</v>
      </c>
      <c r="GC1" s="8" t="s">
        <v>156</v>
      </c>
      <c r="GD1" s="2" t="s">
        <v>157</v>
      </c>
      <c r="GE1" s="2" t="s">
        <v>158</v>
      </c>
      <c r="GF1" s="2" t="s">
        <v>159</v>
      </c>
      <c r="GG1" s="9" t="s">
        <v>160</v>
      </c>
      <c r="GH1" s="2" t="s">
        <v>161</v>
      </c>
      <c r="GI1" s="2" t="s">
        <v>162</v>
      </c>
      <c r="GJ1" s="5" t="s">
        <v>111</v>
      </c>
      <c r="GK1" s="2" t="s">
        <v>163</v>
      </c>
      <c r="GL1" s="16" t="s">
        <v>164</v>
      </c>
      <c r="GM1" s="9" t="s">
        <v>165</v>
      </c>
      <c r="GN1" s="9" t="s">
        <v>166</v>
      </c>
      <c r="GO1" s="2" t="s">
        <v>167</v>
      </c>
      <c r="GP1" s="2" t="s">
        <v>168</v>
      </c>
      <c r="GQ1" s="2" t="s">
        <v>169</v>
      </c>
      <c r="GR1" s="6" t="s">
        <v>170</v>
      </c>
      <c r="GS1" s="9" t="s">
        <v>178</v>
      </c>
      <c r="GT1" s="16" t="s">
        <v>179</v>
      </c>
      <c r="GU1" s="9" t="s">
        <v>180</v>
      </c>
      <c r="GV1" s="22" t="s">
        <v>206</v>
      </c>
      <c r="GW1" s="22" t="s">
        <v>230</v>
      </c>
      <c r="GX1" s="22" t="s">
        <v>339</v>
      </c>
    </row>
    <row r="2" spans="1:206">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row>
    <row r="3" spans="1:206">
      <c r="A3" s="13"/>
      <c r="B3" s="37">
        <v>45901</v>
      </c>
      <c r="C3" s="13"/>
      <c r="D3" s="13"/>
      <c r="N3" s="21" t="s">
        <v>173</v>
      </c>
      <c r="O3" s="5" t="s">
        <v>174</v>
      </c>
      <c r="P3" s="5" t="s">
        <v>175</v>
      </c>
      <c r="Q3" s="5" t="s">
        <v>21</v>
      </c>
      <c r="R3" s="14"/>
      <c r="S3" s="6"/>
      <c r="T3" s="6"/>
      <c r="U3" s="6"/>
      <c r="V3" s="6"/>
      <c r="W3" s="10" t="s">
        <v>173</v>
      </c>
      <c r="X3" s="10" t="s">
        <v>174</v>
      </c>
      <c r="Y3" s="10" t="s">
        <v>175</v>
      </c>
      <c r="Z3" s="10" t="s">
        <v>176</v>
      </c>
      <c r="AA3" s="10" t="s">
        <v>21</v>
      </c>
      <c r="AB3" s="13"/>
      <c r="AC3" s="15" t="s">
        <v>177</v>
      </c>
      <c r="AD3" s="5">
        <v>8</v>
      </c>
      <c r="AE3" s="5">
        <v>9</v>
      </c>
      <c r="AF3" s="5">
        <v>10</v>
      </c>
      <c r="AG3" s="5">
        <v>11</v>
      </c>
      <c r="AH3" s="5">
        <v>12</v>
      </c>
      <c r="AI3" s="5">
        <v>13</v>
      </c>
      <c r="AJ3" s="5">
        <v>14</v>
      </c>
      <c r="AK3" s="5">
        <v>15</v>
      </c>
      <c r="AL3" s="5">
        <v>16</v>
      </c>
      <c r="AM3" s="5">
        <v>17</v>
      </c>
      <c r="AN3" s="5" t="s">
        <v>172</v>
      </c>
      <c r="AO3" s="5" t="s">
        <v>21</v>
      </c>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row>
    <row r="4" spans="1:206">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row>
    <row r="5" spans="1:206">
      <c r="A5" s="26">
        <v>1</v>
      </c>
      <c r="B5" t="s">
        <v>188</v>
      </c>
      <c r="C5" t="s">
        <v>189</v>
      </c>
      <c r="D5" t="s">
        <v>190</v>
      </c>
      <c r="E5">
        <v>1</v>
      </c>
      <c r="F5">
        <v>1</v>
      </c>
      <c r="K5">
        <v>2</v>
      </c>
      <c r="L5">
        <v>12</v>
      </c>
      <c r="N5">
        <v>4</v>
      </c>
      <c r="O5">
        <v>8</v>
      </c>
      <c r="Q5">
        <v>12</v>
      </c>
      <c r="R5" s="22" t="s">
        <v>191</v>
      </c>
      <c r="S5" s="22" t="s">
        <v>192</v>
      </c>
      <c r="T5">
        <v>5</v>
      </c>
      <c r="U5">
        <v>1</v>
      </c>
      <c r="W5">
        <v>1</v>
      </c>
      <c r="X5">
        <v>3</v>
      </c>
      <c r="Z5">
        <v>1</v>
      </c>
      <c r="AA5">
        <v>5</v>
      </c>
      <c r="AD5">
        <v>1</v>
      </c>
      <c r="AF5">
        <v>1</v>
      </c>
      <c r="AG5">
        <v>2</v>
      </c>
      <c r="AH5">
        <v>1</v>
      </c>
      <c r="AO5">
        <v>5</v>
      </c>
      <c r="AQ5">
        <v>5</v>
      </c>
      <c r="AV5">
        <v>5</v>
      </c>
      <c r="AX5" t="s">
        <v>194</v>
      </c>
      <c r="AY5" t="s">
        <v>193</v>
      </c>
      <c r="BA5">
        <v>7</v>
      </c>
      <c r="BK5">
        <v>1</v>
      </c>
      <c r="BT5">
        <v>1</v>
      </c>
      <c r="CQ5">
        <v>1</v>
      </c>
      <c r="CW5">
        <v>1</v>
      </c>
      <c r="FP5">
        <v>1</v>
      </c>
    </row>
    <row r="6" spans="1:206">
      <c r="A6" s="27" t="s">
        <v>197</v>
      </c>
      <c r="B6" t="s">
        <v>198</v>
      </c>
      <c r="C6" t="s">
        <v>199</v>
      </c>
      <c r="D6" t="s">
        <v>200</v>
      </c>
      <c r="E6">
        <v>2</v>
      </c>
      <c r="F6">
        <v>2</v>
      </c>
      <c r="K6">
        <v>2</v>
      </c>
      <c r="L6">
        <v>51</v>
      </c>
      <c r="N6">
        <v>21</v>
      </c>
      <c r="O6">
        <v>30</v>
      </c>
      <c r="Q6">
        <v>51</v>
      </c>
      <c r="R6" s="22" t="s">
        <v>201</v>
      </c>
      <c r="S6" s="22" t="s">
        <v>192</v>
      </c>
      <c r="T6">
        <v>42</v>
      </c>
      <c r="U6">
        <v>1</v>
      </c>
      <c r="W6">
        <v>16</v>
      </c>
      <c r="X6">
        <v>24</v>
      </c>
      <c r="Y6">
        <v>1</v>
      </c>
      <c r="Z6">
        <v>1</v>
      </c>
      <c r="AA6">
        <v>42</v>
      </c>
      <c r="AF6">
        <v>15</v>
      </c>
      <c r="AG6">
        <v>27</v>
      </c>
      <c r="AO6">
        <v>42</v>
      </c>
      <c r="AQ6">
        <v>23</v>
      </c>
      <c r="AR6">
        <v>16</v>
      </c>
      <c r="AS6">
        <v>2</v>
      </c>
      <c r="AU6">
        <v>1</v>
      </c>
      <c r="AV6">
        <v>42</v>
      </c>
      <c r="AX6" t="s">
        <v>202</v>
      </c>
      <c r="AY6" t="s">
        <v>203</v>
      </c>
      <c r="BA6">
        <v>37</v>
      </c>
      <c r="BJ6">
        <v>1</v>
      </c>
      <c r="BL6">
        <v>1</v>
      </c>
      <c r="BV6">
        <v>1</v>
      </c>
      <c r="BX6">
        <v>1</v>
      </c>
      <c r="CF6">
        <v>3</v>
      </c>
      <c r="DB6">
        <v>2</v>
      </c>
      <c r="EN6">
        <v>1</v>
      </c>
      <c r="EZ6">
        <v>1</v>
      </c>
      <c r="FP6">
        <v>2</v>
      </c>
      <c r="GB6">
        <v>1</v>
      </c>
    </row>
    <row r="7" spans="1:206">
      <c r="A7" s="26">
        <v>3</v>
      </c>
      <c r="B7" t="s">
        <v>209</v>
      </c>
      <c r="C7" t="s">
        <v>199</v>
      </c>
      <c r="D7" t="s">
        <v>200</v>
      </c>
      <c r="E7">
        <v>2</v>
      </c>
      <c r="F7">
        <v>2</v>
      </c>
      <c r="K7">
        <v>2</v>
      </c>
      <c r="L7">
        <v>42</v>
      </c>
      <c r="N7">
        <v>26</v>
      </c>
      <c r="O7">
        <v>16</v>
      </c>
      <c r="Q7">
        <v>42</v>
      </c>
      <c r="R7" s="22" t="s">
        <v>212</v>
      </c>
      <c r="S7" s="22" t="s">
        <v>192</v>
      </c>
      <c r="T7">
        <v>36</v>
      </c>
      <c r="U7">
        <v>1</v>
      </c>
      <c r="W7">
        <v>20</v>
      </c>
      <c r="X7">
        <v>15</v>
      </c>
      <c r="Y7">
        <v>1</v>
      </c>
      <c r="AA7">
        <v>36</v>
      </c>
      <c r="AG7">
        <v>16</v>
      </c>
      <c r="AH7">
        <v>19</v>
      </c>
      <c r="AO7">
        <v>36</v>
      </c>
      <c r="AQ7">
        <v>13</v>
      </c>
      <c r="AR7">
        <v>13</v>
      </c>
      <c r="AS7">
        <v>8</v>
      </c>
      <c r="AT7">
        <v>2</v>
      </c>
      <c r="AV7">
        <v>36</v>
      </c>
      <c r="AX7" t="s">
        <v>232</v>
      </c>
      <c r="AY7" t="s">
        <v>208</v>
      </c>
      <c r="BA7">
        <v>32</v>
      </c>
      <c r="BL7">
        <v>2</v>
      </c>
      <c r="BQ7">
        <v>1</v>
      </c>
      <c r="BS7">
        <v>1</v>
      </c>
      <c r="BZ7">
        <v>1</v>
      </c>
      <c r="CF7">
        <v>1</v>
      </c>
      <c r="DS7">
        <v>1</v>
      </c>
      <c r="EY7">
        <v>1</v>
      </c>
      <c r="FC7">
        <v>1</v>
      </c>
      <c r="FI7">
        <v>1</v>
      </c>
      <c r="FP7">
        <v>1</v>
      </c>
    </row>
    <row r="8" spans="1:206">
      <c r="A8" s="20">
        <v>4</v>
      </c>
      <c r="B8" t="s">
        <v>213</v>
      </c>
      <c r="C8" t="s">
        <v>214</v>
      </c>
      <c r="D8" t="s">
        <v>215</v>
      </c>
      <c r="E8">
        <v>3</v>
      </c>
      <c r="F8">
        <v>3</v>
      </c>
      <c r="K8">
        <v>3</v>
      </c>
      <c r="L8">
        <v>54</v>
      </c>
      <c r="N8">
        <v>25</v>
      </c>
      <c r="O8">
        <v>29</v>
      </c>
      <c r="Q8">
        <v>54</v>
      </c>
      <c r="R8" s="22" t="s">
        <v>233</v>
      </c>
    </row>
    <row r="10" spans="1:206">
      <c r="B10" s="37">
        <v>45931</v>
      </c>
    </row>
    <row r="12" spans="1:206">
      <c r="A12" s="20">
        <v>5</v>
      </c>
      <c r="B12" t="s">
        <v>216</v>
      </c>
      <c r="C12" t="s">
        <v>214</v>
      </c>
      <c r="D12" t="s">
        <v>215</v>
      </c>
      <c r="E12">
        <v>3</v>
      </c>
      <c r="F12">
        <v>3</v>
      </c>
      <c r="K12">
        <v>3</v>
      </c>
      <c r="L12">
        <v>46</v>
      </c>
      <c r="N12">
        <v>21</v>
      </c>
      <c r="O12">
        <v>25</v>
      </c>
      <c r="Q12">
        <v>46</v>
      </c>
      <c r="R12" s="22" t="s">
        <v>201</v>
      </c>
    </row>
    <row r="13" spans="1:206">
      <c r="A13" s="26">
        <v>6</v>
      </c>
      <c r="B13" t="s">
        <v>217</v>
      </c>
      <c r="C13" t="s">
        <v>218</v>
      </c>
      <c r="D13" t="s">
        <v>219</v>
      </c>
      <c r="E13">
        <v>1</v>
      </c>
      <c r="F13">
        <v>1</v>
      </c>
      <c r="K13">
        <v>1</v>
      </c>
      <c r="L13">
        <v>30</v>
      </c>
      <c r="N13">
        <v>15</v>
      </c>
      <c r="O13">
        <v>15</v>
      </c>
      <c r="Q13">
        <v>30</v>
      </c>
      <c r="R13" s="22" t="s">
        <v>212</v>
      </c>
    </row>
    <row r="14" spans="1:206">
      <c r="A14" s="20">
        <v>7</v>
      </c>
      <c r="B14" t="s">
        <v>220</v>
      </c>
      <c r="C14" t="s">
        <v>221</v>
      </c>
      <c r="D14" t="s">
        <v>222</v>
      </c>
      <c r="E14">
        <v>3</v>
      </c>
      <c r="F14">
        <v>3</v>
      </c>
      <c r="K14">
        <v>3</v>
      </c>
      <c r="L14">
        <v>90</v>
      </c>
      <c r="N14">
        <v>90</v>
      </c>
      <c r="O14">
        <v>0</v>
      </c>
      <c r="Q14">
        <v>90</v>
      </c>
      <c r="R14" s="22" t="s">
        <v>234</v>
      </c>
    </row>
    <row r="15" spans="1:206">
      <c r="A15" s="20">
        <v>8</v>
      </c>
      <c r="B15" t="s">
        <v>223</v>
      </c>
      <c r="C15" t="s">
        <v>218</v>
      </c>
      <c r="D15" t="s">
        <v>219</v>
      </c>
      <c r="E15">
        <v>1</v>
      </c>
      <c r="F15">
        <v>1</v>
      </c>
      <c r="K15">
        <v>2</v>
      </c>
      <c r="L15">
        <v>29</v>
      </c>
      <c r="N15">
        <v>14</v>
      </c>
      <c r="O15">
        <v>15</v>
      </c>
      <c r="Q15">
        <v>29</v>
      </c>
      <c r="R15" s="22" t="s">
        <v>191</v>
      </c>
      <c r="S15" s="22" t="s">
        <v>192</v>
      </c>
      <c r="T15">
        <v>11</v>
      </c>
      <c r="U15">
        <v>1</v>
      </c>
      <c r="W15">
        <v>7</v>
      </c>
      <c r="X15">
        <v>4</v>
      </c>
      <c r="AA15">
        <v>11</v>
      </c>
      <c r="AC15">
        <v>1</v>
      </c>
      <c r="AH15">
        <v>4</v>
      </c>
      <c r="AI15">
        <v>6</v>
      </c>
      <c r="AO15">
        <v>11</v>
      </c>
      <c r="AR15">
        <v>6</v>
      </c>
      <c r="AS15">
        <v>3</v>
      </c>
      <c r="AT15">
        <v>1</v>
      </c>
      <c r="AU15">
        <v>1</v>
      </c>
      <c r="AV15">
        <v>11</v>
      </c>
      <c r="AX15" t="s">
        <v>338</v>
      </c>
      <c r="AY15" t="s">
        <v>337</v>
      </c>
      <c r="BA15">
        <v>17</v>
      </c>
      <c r="BT15">
        <v>1</v>
      </c>
      <c r="CW15">
        <v>2</v>
      </c>
      <c r="CX15">
        <v>2</v>
      </c>
      <c r="EZ15">
        <v>1</v>
      </c>
      <c r="FP15">
        <v>1</v>
      </c>
      <c r="FR15">
        <v>2</v>
      </c>
      <c r="FZ15">
        <v>1</v>
      </c>
      <c r="GN15">
        <v>1</v>
      </c>
      <c r="GX15">
        <v>1</v>
      </c>
    </row>
    <row r="16" spans="1:206">
      <c r="A16" s="26">
        <v>9</v>
      </c>
      <c r="B16" t="s">
        <v>224</v>
      </c>
      <c r="C16" t="s">
        <v>225</v>
      </c>
      <c r="D16" t="s">
        <v>226</v>
      </c>
      <c r="E16">
        <v>1</v>
      </c>
      <c r="F16">
        <v>1</v>
      </c>
      <c r="K16">
        <v>1</v>
      </c>
      <c r="L16">
        <v>39</v>
      </c>
      <c r="N16">
        <v>29</v>
      </c>
      <c r="O16">
        <v>10</v>
      </c>
      <c r="Q16">
        <v>39</v>
      </c>
      <c r="R16" s="22" t="s">
        <v>227</v>
      </c>
      <c r="S16" s="22" t="s">
        <v>192</v>
      </c>
      <c r="T16">
        <v>32</v>
      </c>
      <c r="U16">
        <v>1</v>
      </c>
      <c r="W16">
        <v>23</v>
      </c>
      <c r="X16">
        <v>9</v>
      </c>
      <c r="AA16">
        <v>32</v>
      </c>
      <c r="AF16">
        <v>7</v>
      </c>
      <c r="AG16">
        <v>18</v>
      </c>
      <c r="AH16">
        <v>11</v>
      </c>
      <c r="AO16">
        <v>32</v>
      </c>
      <c r="AQ16">
        <v>19</v>
      </c>
      <c r="AR16">
        <v>9</v>
      </c>
      <c r="AS16">
        <v>3</v>
      </c>
      <c r="AT16">
        <v>1</v>
      </c>
      <c r="AV16">
        <v>32</v>
      </c>
      <c r="AX16" t="s">
        <v>228</v>
      </c>
      <c r="BA16">
        <v>37</v>
      </c>
      <c r="EZ16">
        <v>1</v>
      </c>
      <c r="GB16">
        <v>1</v>
      </c>
    </row>
    <row r="17" spans="1:203" ht="17" thickBot="1">
      <c r="A17" s="26">
        <v>10</v>
      </c>
      <c r="B17" t="s">
        <v>235</v>
      </c>
      <c r="C17" t="s">
        <v>236</v>
      </c>
      <c r="D17" t="s">
        <v>237</v>
      </c>
      <c r="E17">
        <v>2</v>
      </c>
      <c r="F17">
        <v>2</v>
      </c>
      <c r="K17">
        <v>2</v>
      </c>
      <c r="L17">
        <v>48</v>
      </c>
      <c r="N17">
        <v>30</v>
      </c>
      <c r="O17">
        <v>18</v>
      </c>
      <c r="Q17">
        <v>48</v>
      </c>
      <c r="R17" s="22" t="s">
        <v>212</v>
      </c>
      <c r="AX17" s="23"/>
    </row>
    <row r="18" spans="1:203" ht="17" thickBot="1">
      <c r="A18" s="20">
        <v>11</v>
      </c>
      <c r="B18" t="s">
        <v>238</v>
      </c>
      <c r="C18" t="s">
        <v>236</v>
      </c>
      <c r="D18" t="s">
        <v>237</v>
      </c>
      <c r="E18" s="17">
        <v>1</v>
      </c>
      <c r="F18" s="18">
        <v>1</v>
      </c>
      <c r="G18" s="18"/>
      <c r="H18" s="18"/>
      <c r="I18" s="18"/>
      <c r="J18" s="18"/>
      <c r="K18" s="18">
        <v>1</v>
      </c>
      <c r="L18" s="18">
        <v>55</v>
      </c>
      <c r="M18" s="18"/>
      <c r="N18" s="18">
        <v>29</v>
      </c>
      <c r="O18" s="18">
        <v>26</v>
      </c>
      <c r="P18" s="18"/>
      <c r="Q18" s="18">
        <v>55</v>
      </c>
      <c r="R18" s="29" t="s">
        <v>212</v>
      </c>
      <c r="S18" s="32" t="s">
        <v>192</v>
      </c>
      <c r="T18" s="17">
        <v>48</v>
      </c>
      <c r="U18" s="18">
        <v>2</v>
      </c>
      <c r="V18" s="18"/>
      <c r="W18" s="18">
        <v>25</v>
      </c>
      <c r="X18" s="18">
        <v>23</v>
      </c>
      <c r="Y18" s="18"/>
      <c r="Z18" s="18"/>
      <c r="AA18" s="18">
        <v>48</v>
      </c>
      <c r="AB18" s="18"/>
      <c r="AC18" s="18"/>
      <c r="AD18" s="18"/>
      <c r="AE18" s="18"/>
      <c r="AF18" s="18"/>
      <c r="AG18" s="18">
        <v>28</v>
      </c>
      <c r="AH18" s="18">
        <v>20</v>
      </c>
      <c r="AI18" s="18"/>
      <c r="AJ18" s="18"/>
      <c r="AK18" s="18"/>
      <c r="AL18" s="18"/>
      <c r="AM18" s="18"/>
      <c r="AN18" s="18"/>
      <c r="AO18" s="18">
        <v>48</v>
      </c>
      <c r="AP18" s="18"/>
      <c r="AQ18" s="18">
        <v>22</v>
      </c>
      <c r="AR18" s="18">
        <v>14</v>
      </c>
      <c r="AS18" s="18">
        <v>10</v>
      </c>
      <c r="AT18" s="18">
        <v>2</v>
      </c>
      <c r="AU18" s="18"/>
      <c r="AV18" s="18">
        <v>48</v>
      </c>
      <c r="AW18" s="18"/>
      <c r="AX18" s="33" t="s">
        <v>277</v>
      </c>
      <c r="AY18" s="18" t="s">
        <v>254</v>
      </c>
      <c r="AZ18" s="18"/>
      <c r="BA18" s="18">
        <v>47</v>
      </c>
      <c r="BB18" s="18"/>
      <c r="BC18" s="18"/>
      <c r="BD18" s="18"/>
      <c r="BE18" s="18"/>
      <c r="BF18" s="18"/>
      <c r="BG18" s="18"/>
      <c r="BH18" s="18"/>
      <c r="BI18" s="18"/>
      <c r="BJ18" s="18"/>
      <c r="BK18" s="18"/>
      <c r="BL18" s="18"/>
      <c r="BM18" s="18"/>
      <c r="BN18" s="18"/>
      <c r="BO18" s="18"/>
      <c r="BP18" s="18"/>
      <c r="BQ18" s="18"/>
      <c r="BR18" s="18"/>
      <c r="BS18" s="18"/>
      <c r="BT18" s="18">
        <v>1</v>
      </c>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9"/>
      <c r="EN18" s="17"/>
      <c r="EO18" s="18"/>
      <c r="EP18" s="18"/>
      <c r="EQ18" s="18"/>
      <c r="ER18" s="18"/>
      <c r="ES18" s="18"/>
      <c r="ET18" s="18"/>
      <c r="EU18" s="18"/>
      <c r="EV18" s="18"/>
      <c r="EW18" s="18"/>
      <c r="EX18" s="18"/>
      <c r="EY18" s="18"/>
      <c r="EZ18" s="18"/>
      <c r="FA18" s="18"/>
      <c r="FB18" s="19"/>
      <c r="FC18" s="17"/>
      <c r="FD18" s="18"/>
      <c r="FE18" s="18"/>
      <c r="FF18" s="18"/>
      <c r="FG18" s="18"/>
      <c r="FH18" s="18"/>
      <c r="FI18" s="18"/>
      <c r="FJ18" s="18"/>
      <c r="FK18" s="18"/>
      <c r="FL18" s="19"/>
      <c r="FM18" s="17"/>
      <c r="FN18" s="18"/>
      <c r="FO18" s="18"/>
      <c r="FP18" s="18">
        <v>7</v>
      </c>
      <c r="FQ18" s="18"/>
      <c r="FR18" s="18"/>
      <c r="FS18" s="18"/>
      <c r="FT18" s="18"/>
      <c r="FU18" s="18"/>
      <c r="FV18" s="18"/>
      <c r="FW18" s="18"/>
      <c r="FX18" s="18"/>
      <c r="FY18" s="18"/>
      <c r="FZ18" s="18"/>
      <c r="GA18" s="18"/>
      <c r="GB18" s="18"/>
      <c r="GC18" s="18"/>
      <c r="GD18" s="18"/>
      <c r="GE18" s="18"/>
      <c r="GF18" s="18"/>
      <c r="GG18" s="18"/>
      <c r="GH18" s="19"/>
      <c r="GI18" s="17"/>
      <c r="GJ18" s="18"/>
      <c r="GK18" s="18"/>
      <c r="GL18" s="18"/>
      <c r="GM18" s="18"/>
      <c r="GN18" s="18"/>
      <c r="GO18" s="18"/>
      <c r="GP18" s="18"/>
      <c r="GQ18" s="18"/>
      <c r="GR18" s="18"/>
      <c r="GS18" s="18"/>
      <c r="GT18" s="18"/>
      <c r="GU18" s="19"/>
    </row>
    <row r="19" spans="1:203">
      <c r="A19" s="20">
        <v>12</v>
      </c>
      <c r="B19" t="s">
        <v>239</v>
      </c>
      <c r="C19" t="s">
        <v>240</v>
      </c>
      <c r="D19" t="s">
        <v>241</v>
      </c>
      <c r="E19" s="30">
        <v>2</v>
      </c>
      <c r="F19" s="30">
        <v>2</v>
      </c>
      <c r="K19" s="30">
        <v>2</v>
      </c>
      <c r="L19" s="30">
        <v>34</v>
      </c>
      <c r="N19" s="30">
        <v>34</v>
      </c>
      <c r="O19" s="30">
        <v>0</v>
      </c>
      <c r="Q19" s="30">
        <v>34</v>
      </c>
      <c r="R19" s="31" t="s">
        <v>212</v>
      </c>
    </row>
    <row r="20" spans="1:203">
      <c r="A20" s="26">
        <v>13</v>
      </c>
      <c r="B20" t="s">
        <v>242</v>
      </c>
      <c r="C20" t="s">
        <v>243</v>
      </c>
      <c r="D20" t="s">
        <v>244</v>
      </c>
      <c r="E20" s="30">
        <v>2</v>
      </c>
      <c r="F20" s="30">
        <v>2</v>
      </c>
      <c r="K20" s="30">
        <v>2</v>
      </c>
      <c r="L20" s="30">
        <v>42</v>
      </c>
      <c r="N20" s="30">
        <v>20</v>
      </c>
      <c r="O20" s="30">
        <v>22</v>
      </c>
      <c r="Q20" s="30">
        <v>42</v>
      </c>
      <c r="R20" s="31" t="s">
        <v>245</v>
      </c>
      <c r="S20" s="22" t="s">
        <v>192</v>
      </c>
      <c r="T20">
        <v>17</v>
      </c>
      <c r="U20">
        <v>1</v>
      </c>
      <c r="W20">
        <v>9</v>
      </c>
      <c r="X20">
        <v>8</v>
      </c>
      <c r="AA20">
        <v>17</v>
      </c>
      <c r="AG20">
        <v>5</v>
      </c>
      <c r="AH20">
        <v>12</v>
      </c>
      <c r="AO20">
        <v>17</v>
      </c>
      <c r="AQ20">
        <v>7</v>
      </c>
      <c r="AR20">
        <v>8</v>
      </c>
      <c r="AS20">
        <v>1</v>
      </c>
      <c r="AU20">
        <v>1</v>
      </c>
      <c r="AV20">
        <v>17</v>
      </c>
      <c r="AX20" t="s">
        <v>257</v>
      </c>
      <c r="AY20" t="s">
        <v>258</v>
      </c>
      <c r="BA20">
        <v>27</v>
      </c>
      <c r="BK20">
        <v>1</v>
      </c>
      <c r="BS20">
        <v>4</v>
      </c>
      <c r="BY20">
        <v>1</v>
      </c>
      <c r="CF20">
        <v>1</v>
      </c>
      <c r="DT20">
        <v>1</v>
      </c>
      <c r="ER20">
        <v>1</v>
      </c>
      <c r="FA20">
        <v>1</v>
      </c>
      <c r="FP20">
        <v>4</v>
      </c>
      <c r="FV20">
        <v>1</v>
      </c>
    </row>
    <row r="21" spans="1:203">
      <c r="A21" s="20">
        <v>14</v>
      </c>
      <c r="B21" t="s">
        <v>246</v>
      </c>
      <c r="C21" t="s">
        <v>243</v>
      </c>
      <c r="D21" t="s">
        <v>244</v>
      </c>
      <c r="E21" s="30">
        <v>2</v>
      </c>
      <c r="F21" s="30">
        <v>2</v>
      </c>
      <c r="K21" s="30">
        <v>2</v>
      </c>
      <c r="L21" s="30">
        <v>51</v>
      </c>
      <c r="N21" s="30">
        <v>30</v>
      </c>
      <c r="O21" s="30">
        <v>21</v>
      </c>
      <c r="Q21" s="30">
        <v>51</v>
      </c>
      <c r="R21" s="31" t="s">
        <v>245</v>
      </c>
      <c r="S21" s="22" t="s">
        <v>192</v>
      </c>
      <c r="T21">
        <v>49</v>
      </c>
      <c r="U21">
        <v>2</v>
      </c>
      <c r="W21">
        <v>29</v>
      </c>
      <c r="X21">
        <v>20</v>
      </c>
      <c r="AA21">
        <v>49</v>
      </c>
      <c r="AF21">
        <v>22</v>
      </c>
      <c r="AG21">
        <v>27</v>
      </c>
      <c r="AO21">
        <v>49</v>
      </c>
      <c r="AQ21">
        <v>25</v>
      </c>
      <c r="AR21">
        <v>14</v>
      </c>
      <c r="AS21">
        <v>6</v>
      </c>
      <c r="AT21">
        <v>4</v>
      </c>
      <c r="AV21">
        <v>49</v>
      </c>
      <c r="AX21" t="s">
        <v>341</v>
      </c>
      <c r="AY21" t="s">
        <v>342</v>
      </c>
      <c r="BA21">
        <v>38</v>
      </c>
      <c r="BO21">
        <v>2</v>
      </c>
      <c r="BS21">
        <v>2</v>
      </c>
      <c r="CF21">
        <v>1</v>
      </c>
      <c r="CG21">
        <v>1</v>
      </c>
      <c r="DR21">
        <v>1</v>
      </c>
      <c r="EW21">
        <v>1</v>
      </c>
      <c r="EZ21">
        <v>1</v>
      </c>
      <c r="FL21">
        <v>1</v>
      </c>
      <c r="FP21">
        <v>3</v>
      </c>
    </row>
    <row r="22" spans="1:203">
      <c r="A22" s="26">
        <v>15</v>
      </c>
      <c r="B22" t="s">
        <v>247</v>
      </c>
      <c r="C22" t="s">
        <v>248</v>
      </c>
      <c r="D22" t="s">
        <v>274</v>
      </c>
      <c r="E22" s="30">
        <v>3</v>
      </c>
      <c r="F22" s="30"/>
      <c r="H22">
        <v>3</v>
      </c>
      <c r="K22" s="30">
        <v>3</v>
      </c>
      <c r="L22" s="30">
        <v>83</v>
      </c>
      <c r="N22" s="30">
        <v>0</v>
      </c>
      <c r="O22" s="30">
        <v>83</v>
      </c>
      <c r="Q22" s="30">
        <v>83</v>
      </c>
      <c r="R22" s="31" t="s">
        <v>201</v>
      </c>
      <c r="S22" s="22" t="s">
        <v>192</v>
      </c>
      <c r="T22">
        <v>69</v>
      </c>
      <c r="U22">
        <v>1</v>
      </c>
      <c r="W22">
        <v>0</v>
      </c>
      <c r="X22">
        <v>69</v>
      </c>
      <c r="AA22">
        <v>69</v>
      </c>
      <c r="AC22">
        <v>1</v>
      </c>
      <c r="AG22">
        <v>1</v>
      </c>
      <c r="AH22">
        <v>23</v>
      </c>
      <c r="AI22">
        <v>44</v>
      </c>
      <c r="AO22">
        <v>69</v>
      </c>
      <c r="AQ22">
        <v>32</v>
      </c>
      <c r="AR22">
        <v>31</v>
      </c>
      <c r="AS22">
        <v>3</v>
      </c>
      <c r="AT22">
        <v>1</v>
      </c>
      <c r="AU22">
        <v>2</v>
      </c>
      <c r="AV22">
        <v>69</v>
      </c>
      <c r="AX22" t="s">
        <v>275</v>
      </c>
      <c r="AY22" t="s">
        <v>78</v>
      </c>
      <c r="BA22">
        <v>76</v>
      </c>
      <c r="BL22">
        <v>1</v>
      </c>
      <c r="BO22">
        <v>1</v>
      </c>
      <c r="BT22">
        <v>1</v>
      </c>
      <c r="DC22">
        <v>1</v>
      </c>
      <c r="EU22">
        <v>1</v>
      </c>
      <c r="EW22">
        <v>1</v>
      </c>
      <c r="FX22">
        <v>1</v>
      </c>
    </row>
    <row r="23" spans="1:203">
      <c r="A23" s="26">
        <v>16</v>
      </c>
      <c r="B23" t="s">
        <v>249</v>
      </c>
      <c r="C23" t="s">
        <v>250</v>
      </c>
      <c r="D23" t="s">
        <v>251</v>
      </c>
      <c r="E23" s="30">
        <v>3</v>
      </c>
      <c r="F23" s="30"/>
      <c r="I23">
        <v>3</v>
      </c>
      <c r="K23" s="30">
        <v>2</v>
      </c>
      <c r="L23" s="30">
        <v>73</v>
      </c>
      <c r="N23" s="30">
        <v>73</v>
      </c>
      <c r="O23" s="30">
        <v>0</v>
      </c>
      <c r="Q23" s="30">
        <v>73</v>
      </c>
      <c r="R23" s="31" t="s">
        <v>191</v>
      </c>
      <c r="S23" s="22" t="s">
        <v>192</v>
      </c>
      <c r="T23">
        <v>62</v>
      </c>
      <c r="U23">
        <v>1</v>
      </c>
      <c r="W23">
        <v>62</v>
      </c>
      <c r="AA23">
        <v>62</v>
      </c>
      <c r="AC23">
        <v>3</v>
      </c>
      <c r="AH23">
        <v>14</v>
      </c>
      <c r="AI23">
        <v>43</v>
      </c>
      <c r="AJ23">
        <v>2</v>
      </c>
      <c r="AO23">
        <v>62</v>
      </c>
      <c r="AQ23">
        <v>30</v>
      </c>
      <c r="AR23">
        <v>28</v>
      </c>
      <c r="AS23">
        <v>3</v>
      </c>
      <c r="AU23">
        <v>1</v>
      </c>
      <c r="AV23">
        <v>62</v>
      </c>
      <c r="AX23" t="s">
        <v>278</v>
      </c>
      <c r="AY23" t="s">
        <v>279</v>
      </c>
      <c r="BA23">
        <v>61</v>
      </c>
      <c r="BD23">
        <v>1</v>
      </c>
      <c r="BL23">
        <v>2</v>
      </c>
      <c r="BW23">
        <v>1</v>
      </c>
      <c r="CW23">
        <v>1</v>
      </c>
      <c r="CX23">
        <v>1</v>
      </c>
      <c r="DT23">
        <v>1</v>
      </c>
      <c r="FI23">
        <v>1</v>
      </c>
      <c r="FP23">
        <v>2</v>
      </c>
      <c r="FQ23">
        <v>1</v>
      </c>
    </row>
    <row r="24" spans="1:203">
      <c r="A24" s="26">
        <v>17</v>
      </c>
      <c r="B24" t="s">
        <v>252</v>
      </c>
      <c r="C24" t="s">
        <v>250</v>
      </c>
      <c r="D24" t="s">
        <v>251</v>
      </c>
      <c r="E24" s="30">
        <v>1</v>
      </c>
      <c r="I24">
        <v>3</v>
      </c>
      <c r="K24" s="30">
        <v>2</v>
      </c>
      <c r="L24" s="30">
        <v>69</v>
      </c>
      <c r="N24" s="30">
        <v>69</v>
      </c>
      <c r="O24" s="30">
        <v>0</v>
      </c>
      <c r="Q24" s="30">
        <v>69</v>
      </c>
      <c r="R24" s="31" t="s">
        <v>253</v>
      </c>
      <c r="S24" s="22" t="s">
        <v>192</v>
      </c>
      <c r="T24">
        <v>54</v>
      </c>
      <c r="U24">
        <v>2</v>
      </c>
      <c r="W24">
        <v>54</v>
      </c>
      <c r="AA24">
        <v>54</v>
      </c>
      <c r="AC24">
        <v>1</v>
      </c>
      <c r="AH24">
        <v>14</v>
      </c>
      <c r="AI24">
        <v>37</v>
      </c>
      <c r="AJ24">
        <v>2</v>
      </c>
      <c r="AO24">
        <v>54</v>
      </c>
      <c r="AQ24">
        <v>18</v>
      </c>
      <c r="AR24">
        <v>23</v>
      </c>
      <c r="AS24">
        <v>7</v>
      </c>
      <c r="AT24">
        <v>2</v>
      </c>
      <c r="AU24">
        <v>4</v>
      </c>
      <c r="AV24">
        <v>54</v>
      </c>
      <c r="AX24" t="s">
        <v>282</v>
      </c>
      <c r="AY24" t="s">
        <v>283</v>
      </c>
      <c r="BA24">
        <v>59</v>
      </c>
      <c r="BI24">
        <v>1</v>
      </c>
      <c r="BT24">
        <v>1</v>
      </c>
      <c r="CM24">
        <v>1</v>
      </c>
      <c r="CQ24">
        <v>1</v>
      </c>
      <c r="CX24">
        <v>1</v>
      </c>
      <c r="DC24">
        <v>1</v>
      </c>
      <c r="DM24">
        <v>1</v>
      </c>
      <c r="FP24">
        <v>2</v>
      </c>
      <c r="GC24">
        <v>1</v>
      </c>
    </row>
    <row r="26" spans="1:203">
      <c r="B26" s="37">
        <v>45962</v>
      </c>
    </row>
    <row r="28" spans="1:203">
      <c r="A28" s="26">
        <v>18</v>
      </c>
      <c r="B28" t="s">
        <v>261</v>
      </c>
      <c r="C28" t="s">
        <v>262</v>
      </c>
      <c r="D28" t="s">
        <v>288</v>
      </c>
      <c r="E28" s="30">
        <v>3</v>
      </c>
      <c r="F28">
        <v>3</v>
      </c>
      <c r="K28" s="30">
        <v>3</v>
      </c>
      <c r="L28" s="30">
        <v>80</v>
      </c>
      <c r="N28" s="30">
        <v>47</v>
      </c>
      <c r="O28" s="30">
        <v>33</v>
      </c>
      <c r="Q28" s="30">
        <v>80</v>
      </c>
      <c r="R28" s="22" t="s">
        <v>201</v>
      </c>
      <c r="S28" s="22" t="s">
        <v>192</v>
      </c>
      <c r="T28">
        <v>70</v>
      </c>
      <c r="U28">
        <v>3</v>
      </c>
      <c r="W28">
        <v>42</v>
      </c>
      <c r="X28">
        <v>28</v>
      </c>
      <c r="AA28">
        <v>70</v>
      </c>
      <c r="AC28">
        <v>1</v>
      </c>
      <c r="AG28">
        <v>21</v>
      </c>
      <c r="AH28">
        <v>47</v>
      </c>
      <c r="AI28">
        <v>2</v>
      </c>
      <c r="AO28">
        <v>70</v>
      </c>
      <c r="AQ28">
        <v>48</v>
      </c>
      <c r="AR28">
        <v>17</v>
      </c>
      <c r="AS28">
        <v>3</v>
      </c>
      <c r="AU28">
        <v>2</v>
      </c>
      <c r="AV28">
        <v>70</v>
      </c>
      <c r="AX28" t="s">
        <v>286</v>
      </c>
      <c r="AY28" t="s">
        <v>287</v>
      </c>
      <c r="BA28">
        <v>55</v>
      </c>
      <c r="BL28">
        <v>1</v>
      </c>
      <c r="BT28">
        <v>5</v>
      </c>
      <c r="BZ28">
        <v>1</v>
      </c>
      <c r="CF28">
        <v>3</v>
      </c>
      <c r="EW28">
        <v>2</v>
      </c>
      <c r="FP28">
        <v>2</v>
      </c>
      <c r="FR28">
        <v>1</v>
      </c>
    </row>
    <row r="29" spans="1:203">
      <c r="A29" s="26">
        <v>19</v>
      </c>
      <c r="B29" t="s">
        <v>263</v>
      </c>
      <c r="C29" t="s">
        <v>262</v>
      </c>
      <c r="D29" t="s">
        <v>288</v>
      </c>
      <c r="E29" s="30">
        <v>3</v>
      </c>
      <c r="F29">
        <v>3</v>
      </c>
      <c r="K29" s="30">
        <v>3</v>
      </c>
      <c r="L29" s="30">
        <v>90</v>
      </c>
      <c r="N29" s="30">
        <v>50</v>
      </c>
      <c r="O29" s="30">
        <v>40</v>
      </c>
      <c r="Q29" s="30">
        <v>90</v>
      </c>
      <c r="R29" s="22" t="s">
        <v>201</v>
      </c>
      <c r="S29" s="22" t="s">
        <v>192</v>
      </c>
      <c r="T29">
        <v>75</v>
      </c>
      <c r="U29">
        <v>3</v>
      </c>
      <c r="W29">
        <v>40</v>
      </c>
      <c r="X29">
        <v>35</v>
      </c>
      <c r="AA29">
        <v>75</v>
      </c>
      <c r="AC29">
        <v>2</v>
      </c>
      <c r="AF29">
        <v>18</v>
      </c>
      <c r="AG29">
        <v>55</v>
      </c>
      <c r="AO29">
        <v>75</v>
      </c>
      <c r="AQ29">
        <v>49</v>
      </c>
      <c r="AR29">
        <v>23</v>
      </c>
      <c r="AS29">
        <v>2</v>
      </c>
      <c r="AU29">
        <v>1</v>
      </c>
      <c r="AV29">
        <v>75</v>
      </c>
      <c r="AX29" t="s">
        <v>291</v>
      </c>
      <c r="AY29" t="s">
        <v>143</v>
      </c>
      <c r="BA29">
        <v>87</v>
      </c>
      <c r="BN29">
        <v>1</v>
      </c>
      <c r="CW29">
        <v>1</v>
      </c>
      <c r="FP29">
        <v>1</v>
      </c>
    </row>
    <row r="30" spans="1:203">
      <c r="A30" s="20">
        <v>20</v>
      </c>
      <c r="B30" t="s">
        <v>264</v>
      </c>
      <c r="C30" t="s">
        <v>265</v>
      </c>
      <c r="D30" t="s">
        <v>294</v>
      </c>
      <c r="E30" s="30">
        <v>2</v>
      </c>
      <c r="F30">
        <v>2</v>
      </c>
      <c r="K30" s="30">
        <v>2</v>
      </c>
      <c r="L30" s="30">
        <v>51</v>
      </c>
      <c r="O30" s="30">
        <v>51</v>
      </c>
      <c r="Q30" s="30">
        <v>51</v>
      </c>
      <c r="R30" s="22" t="s">
        <v>266</v>
      </c>
      <c r="S30" s="22" t="s">
        <v>192</v>
      </c>
      <c r="T30">
        <v>24</v>
      </c>
      <c r="U30">
        <v>1</v>
      </c>
      <c r="X30">
        <v>24</v>
      </c>
      <c r="AA30">
        <v>24</v>
      </c>
      <c r="AF30">
        <v>8</v>
      </c>
      <c r="AG30">
        <v>15</v>
      </c>
      <c r="AH30">
        <v>1</v>
      </c>
      <c r="AO30">
        <v>24</v>
      </c>
      <c r="AQ30">
        <v>7</v>
      </c>
      <c r="AR30">
        <v>15</v>
      </c>
      <c r="AS30">
        <v>2</v>
      </c>
      <c r="AV30">
        <v>24</v>
      </c>
      <c r="AX30" t="s">
        <v>295</v>
      </c>
      <c r="AY30" t="s">
        <v>296</v>
      </c>
      <c r="BA30">
        <v>43</v>
      </c>
      <c r="BD30">
        <v>1</v>
      </c>
      <c r="BL30">
        <v>1</v>
      </c>
      <c r="BT30">
        <v>1</v>
      </c>
      <c r="EZ30">
        <v>1</v>
      </c>
      <c r="FM30">
        <v>1</v>
      </c>
      <c r="FP30">
        <v>1</v>
      </c>
      <c r="GB30">
        <v>1</v>
      </c>
      <c r="GC30">
        <v>1</v>
      </c>
    </row>
    <row r="31" spans="1:203">
      <c r="A31" s="26">
        <v>21</v>
      </c>
      <c r="B31" t="s">
        <v>267</v>
      </c>
      <c r="C31" t="s">
        <v>268</v>
      </c>
      <c r="D31" t="s">
        <v>346</v>
      </c>
      <c r="E31" s="30">
        <v>3</v>
      </c>
      <c r="F31">
        <v>3</v>
      </c>
      <c r="K31" s="30">
        <v>3</v>
      </c>
      <c r="L31" s="30">
        <v>70</v>
      </c>
      <c r="N31">
        <v>28</v>
      </c>
      <c r="O31" s="30">
        <v>42</v>
      </c>
      <c r="Q31" s="30">
        <v>70</v>
      </c>
      <c r="R31" s="22" t="s">
        <v>191</v>
      </c>
      <c r="S31" s="22" t="s">
        <v>192</v>
      </c>
      <c r="T31">
        <v>44</v>
      </c>
      <c r="U31">
        <v>2</v>
      </c>
      <c r="W31">
        <v>16</v>
      </c>
      <c r="X31">
        <v>28</v>
      </c>
      <c r="AA31">
        <v>44</v>
      </c>
      <c r="AC31">
        <v>2</v>
      </c>
      <c r="AG31">
        <v>19</v>
      </c>
      <c r="AH31">
        <v>23</v>
      </c>
      <c r="AO31">
        <v>44</v>
      </c>
      <c r="AQ31">
        <v>27</v>
      </c>
      <c r="AR31">
        <v>9</v>
      </c>
      <c r="AS31">
        <v>8</v>
      </c>
      <c r="AV31">
        <v>44</v>
      </c>
      <c r="AX31" t="s">
        <v>347</v>
      </c>
      <c r="AY31" t="s">
        <v>342</v>
      </c>
      <c r="BA31">
        <v>56</v>
      </c>
      <c r="BD31">
        <v>1</v>
      </c>
      <c r="BH31">
        <v>1</v>
      </c>
      <c r="BI31">
        <v>1</v>
      </c>
      <c r="BS31">
        <v>1</v>
      </c>
      <c r="BT31">
        <v>1</v>
      </c>
      <c r="CG31">
        <v>1</v>
      </c>
      <c r="CL31">
        <v>1</v>
      </c>
      <c r="DA31">
        <v>1</v>
      </c>
      <c r="FP31">
        <v>1</v>
      </c>
      <c r="FR31">
        <v>2</v>
      </c>
      <c r="FV31">
        <v>1</v>
      </c>
    </row>
    <row r="32" spans="1:203">
      <c r="A32" s="20">
        <v>22</v>
      </c>
      <c r="B32" t="s">
        <v>269</v>
      </c>
      <c r="C32" t="s">
        <v>270</v>
      </c>
      <c r="E32" s="30">
        <v>3</v>
      </c>
      <c r="F32">
        <v>3</v>
      </c>
      <c r="K32" s="30">
        <v>3</v>
      </c>
      <c r="L32" s="30">
        <v>76</v>
      </c>
      <c r="N32">
        <v>40</v>
      </c>
      <c r="O32" s="30">
        <v>36</v>
      </c>
      <c r="Q32" s="30">
        <v>76</v>
      </c>
      <c r="R32" s="22" t="s">
        <v>271</v>
      </c>
    </row>
    <row r="33" spans="1:172">
      <c r="A33" s="20">
        <v>23</v>
      </c>
      <c r="B33" t="s">
        <v>303</v>
      </c>
      <c r="C33" t="s">
        <v>304</v>
      </c>
      <c r="D33" t="s">
        <v>305</v>
      </c>
      <c r="E33" s="30">
        <v>1</v>
      </c>
      <c r="F33">
        <v>1</v>
      </c>
      <c r="K33" s="30">
        <v>2</v>
      </c>
    </row>
    <row r="34" spans="1:172">
      <c r="A34" s="20">
        <v>24</v>
      </c>
      <c r="B34" t="s">
        <v>272</v>
      </c>
      <c r="C34" t="s">
        <v>273</v>
      </c>
      <c r="E34" s="34">
        <v>3</v>
      </c>
      <c r="F34" s="34">
        <v>3</v>
      </c>
      <c r="G34" s="34"/>
      <c r="H34" s="34"/>
      <c r="I34" s="34"/>
      <c r="J34" s="34"/>
      <c r="K34" s="34">
        <v>3</v>
      </c>
      <c r="L34" s="34">
        <v>109</v>
      </c>
      <c r="N34">
        <v>88</v>
      </c>
      <c r="O34" s="30">
        <v>21</v>
      </c>
      <c r="Q34" s="30">
        <v>109</v>
      </c>
    </row>
    <row r="35" spans="1:172">
      <c r="A35" s="26">
        <v>25</v>
      </c>
      <c r="B35" t="s">
        <v>311</v>
      </c>
      <c r="C35" t="s">
        <v>307</v>
      </c>
      <c r="D35" t="s">
        <v>349</v>
      </c>
      <c r="E35" s="35">
        <v>2</v>
      </c>
      <c r="F35" s="35">
        <v>2</v>
      </c>
      <c r="K35" s="35" t="s">
        <v>308</v>
      </c>
      <c r="L35" s="35">
        <v>51</v>
      </c>
      <c r="N35">
        <v>0</v>
      </c>
      <c r="O35" s="30">
        <v>51</v>
      </c>
      <c r="Q35" s="30">
        <v>51</v>
      </c>
      <c r="R35" s="22" t="s">
        <v>201</v>
      </c>
      <c r="S35" s="22" t="s">
        <v>192</v>
      </c>
      <c r="T35">
        <v>43</v>
      </c>
      <c r="U35" s="39" t="s">
        <v>308</v>
      </c>
      <c r="X35">
        <v>43</v>
      </c>
      <c r="AA35">
        <v>43</v>
      </c>
      <c r="AC35">
        <v>1</v>
      </c>
      <c r="AF35">
        <v>10</v>
      </c>
      <c r="AG35">
        <v>20</v>
      </c>
      <c r="AH35">
        <v>12</v>
      </c>
      <c r="AO35">
        <v>43</v>
      </c>
      <c r="AQ35">
        <v>33</v>
      </c>
      <c r="AR35">
        <v>7</v>
      </c>
      <c r="AS35">
        <v>1</v>
      </c>
      <c r="AU35">
        <v>2</v>
      </c>
      <c r="AV35">
        <v>43</v>
      </c>
      <c r="AX35" t="s">
        <v>350</v>
      </c>
      <c r="BA35">
        <v>49</v>
      </c>
      <c r="BP35">
        <v>1</v>
      </c>
      <c r="BW35">
        <v>1</v>
      </c>
    </row>
    <row r="36" spans="1:172">
      <c r="A36" s="20">
        <v>26</v>
      </c>
      <c r="B36" t="s">
        <v>312</v>
      </c>
      <c r="C36" t="s">
        <v>309</v>
      </c>
      <c r="E36" s="35">
        <v>3</v>
      </c>
      <c r="K36" s="35">
        <v>3</v>
      </c>
      <c r="L36" s="35">
        <v>68</v>
      </c>
      <c r="N36">
        <v>43</v>
      </c>
      <c r="O36" s="30">
        <v>25</v>
      </c>
      <c r="Q36" s="30">
        <v>68</v>
      </c>
    </row>
    <row r="37" spans="1:172">
      <c r="A37" s="20">
        <v>27</v>
      </c>
      <c r="B37" t="s">
        <v>313</v>
      </c>
      <c r="C37" t="s">
        <v>310</v>
      </c>
      <c r="E37" s="35">
        <v>1</v>
      </c>
      <c r="F37">
        <v>1</v>
      </c>
      <c r="K37" s="35">
        <v>1</v>
      </c>
      <c r="L37" s="35">
        <v>19</v>
      </c>
      <c r="N37">
        <v>8</v>
      </c>
      <c r="O37" s="30">
        <v>11</v>
      </c>
      <c r="Q37" s="30">
        <v>19</v>
      </c>
    </row>
    <row r="38" spans="1:172">
      <c r="A38" s="20">
        <v>28</v>
      </c>
      <c r="B38" t="s">
        <v>314</v>
      </c>
      <c r="C38" t="s">
        <v>315</v>
      </c>
      <c r="E38" s="35">
        <v>3</v>
      </c>
      <c r="F38">
        <v>3</v>
      </c>
      <c r="K38" s="35">
        <v>6</v>
      </c>
      <c r="L38" s="35">
        <v>90</v>
      </c>
      <c r="N38">
        <v>90</v>
      </c>
      <c r="O38" s="30">
        <v>0</v>
      </c>
      <c r="Q38" s="30">
        <v>90</v>
      </c>
    </row>
    <row r="39" spans="1:172">
      <c r="A39" s="26">
        <v>29</v>
      </c>
      <c r="B39" t="s">
        <v>316</v>
      </c>
      <c r="C39" t="s">
        <v>317</v>
      </c>
      <c r="D39" t="s">
        <v>294</v>
      </c>
      <c r="E39" s="35">
        <v>2</v>
      </c>
      <c r="F39">
        <v>2</v>
      </c>
      <c r="K39" s="35">
        <v>2</v>
      </c>
      <c r="L39" s="35">
        <v>40</v>
      </c>
      <c r="N39">
        <v>0</v>
      </c>
      <c r="O39" s="30">
        <v>40</v>
      </c>
      <c r="Q39" s="30">
        <v>40</v>
      </c>
      <c r="R39" s="22" t="s">
        <v>266</v>
      </c>
      <c r="S39" s="22" t="s">
        <v>192</v>
      </c>
      <c r="T39">
        <v>18</v>
      </c>
      <c r="U39">
        <v>0</v>
      </c>
      <c r="X39">
        <v>18</v>
      </c>
      <c r="AA39">
        <v>18</v>
      </c>
      <c r="AG39">
        <v>6</v>
      </c>
      <c r="AH39">
        <v>12</v>
      </c>
      <c r="AO39">
        <v>18</v>
      </c>
      <c r="AQ39">
        <v>11</v>
      </c>
      <c r="AR39">
        <v>6</v>
      </c>
      <c r="AU39">
        <v>1</v>
      </c>
      <c r="AV39">
        <v>18</v>
      </c>
      <c r="AX39" t="s">
        <v>352</v>
      </c>
      <c r="AY39" t="s">
        <v>353</v>
      </c>
      <c r="BA39">
        <v>37</v>
      </c>
      <c r="BL39">
        <v>1</v>
      </c>
      <c r="BT39">
        <v>1</v>
      </c>
      <c r="BW39">
        <v>1</v>
      </c>
      <c r="FM39">
        <v>1</v>
      </c>
      <c r="FP39">
        <v>2</v>
      </c>
    </row>
    <row r="40" spans="1:172">
      <c r="A40" s="20">
        <v>30</v>
      </c>
      <c r="B40" t="s">
        <v>318</v>
      </c>
      <c r="C40" t="s">
        <v>319</v>
      </c>
      <c r="E40" s="35">
        <v>3</v>
      </c>
      <c r="F40">
        <v>3</v>
      </c>
      <c r="K40" s="35">
        <v>4</v>
      </c>
      <c r="L40" s="35">
        <v>101</v>
      </c>
      <c r="N40">
        <v>58</v>
      </c>
      <c r="O40" s="30">
        <v>43</v>
      </c>
      <c r="Q40" s="30">
        <v>101</v>
      </c>
    </row>
    <row r="41" spans="1:172">
      <c r="A41" s="20">
        <v>31</v>
      </c>
      <c r="B41" t="s">
        <v>320</v>
      </c>
      <c r="C41" t="s">
        <v>319</v>
      </c>
      <c r="E41" s="35">
        <v>3</v>
      </c>
      <c r="F41">
        <v>3</v>
      </c>
      <c r="K41" s="35">
        <v>4</v>
      </c>
      <c r="L41" s="35">
        <v>92</v>
      </c>
      <c r="N41">
        <v>60</v>
      </c>
      <c r="O41" s="30">
        <v>32</v>
      </c>
      <c r="Q41" s="30">
        <v>92</v>
      </c>
    </row>
    <row r="43" spans="1:172">
      <c r="B43" s="37">
        <v>45992</v>
      </c>
    </row>
    <row r="45" spans="1:172">
      <c r="A45" s="20">
        <v>32</v>
      </c>
      <c r="B45" t="s">
        <v>321</v>
      </c>
      <c r="C45" t="s">
        <v>322</v>
      </c>
      <c r="E45" s="35">
        <v>2</v>
      </c>
      <c r="F45">
        <v>2</v>
      </c>
      <c r="K45" s="35">
        <v>2</v>
      </c>
      <c r="L45" s="35">
        <v>46</v>
      </c>
      <c r="N45">
        <v>22</v>
      </c>
      <c r="O45" s="30">
        <v>24</v>
      </c>
      <c r="Q45" s="30">
        <v>46</v>
      </c>
    </row>
    <row r="46" spans="1:172">
      <c r="A46" s="20">
        <v>33</v>
      </c>
      <c r="B46" t="s">
        <v>323</v>
      </c>
      <c r="C46" t="s">
        <v>322</v>
      </c>
      <c r="E46" s="35">
        <v>3</v>
      </c>
      <c r="F46">
        <v>3</v>
      </c>
      <c r="K46" t="s">
        <v>324</v>
      </c>
      <c r="L46" s="35">
        <v>63</v>
      </c>
      <c r="N46">
        <v>30</v>
      </c>
      <c r="O46" s="30">
        <v>33</v>
      </c>
      <c r="Q46" s="30">
        <v>63</v>
      </c>
    </row>
    <row r="47" spans="1:172">
      <c r="A47" s="20">
        <v>34</v>
      </c>
      <c r="B47" t="s">
        <v>325</v>
      </c>
      <c r="C47" t="s">
        <v>327</v>
      </c>
      <c r="E47" s="35">
        <v>3</v>
      </c>
      <c r="F47">
        <v>3</v>
      </c>
      <c r="K47">
        <v>6</v>
      </c>
      <c r="L47" s="35">
        <v>66</v>
      </c>
      <c r="N47">
        <v>33</v>
      </c>
      <c r="O47" s="30">
        <v>33</v>
      </c>
      <c r="Q47" s="30">
        <v>66</v>
      </c>
    </row>
    <row r="48" spans="1:172">
      <c r="A48" s="20">
        <v>35</v>
      </c>
      <c r="B48" t="s">
        <v>326</v>
      </c>
      <c r="C48" t="s">
        <v>327</v>
      </c>
      <c r="E48" s="35">
        <v>2</v>
      </c>
      <c r="F48">
        <v>2</v>
      </c>
      <c r="K48">
        <v>4</v>
      </c>
      <c r="L48" s="35">
        <v>56</v>
      </c>
      <c r="N48">
        <v>37</v>
      </c>
      <c r="O48" s="30">
        <v>19</v>
      </c>
      <c r="Q48" s="30">
        <v>56</v>
      </c>
    </row>
    <row r="49" spans="1:182">
      <c r="A49" s="26">
        <v>36</v>
      </c>
      <c r="B49" t="s">
        <v>328</v>
      </c>
      <c r="C49" t="s">
        <v>329</v>
      </c>
      <c r="D49" t="s">
        <v>356</v>
      </c>
      <c r="E49" s="35">
        <v>1</v>
      </c>
      <c r="F49">
        <v>1</v>
      </c>
      <c r="K49" t="s">
        <v>357</v>
      </c>
      <c r="L49" s="35">
        <v>23</v>
      </c>
      <c r="N49">
        <v>19</v>
      </c>
      <c r="O49" s="30">
        <v>4</v>
      </c>
      <c r="Q49" s="30">
        <v>23</v>
      </c>
      <c r="R49" s="22" t="s">
        <v>358</v>
      </c>
      <c r="S49" s="22" t="s">
        <v>192</v>
      </c>
      <c r="T49">
        <v>12</v>
      </c>
      <c r="U49">
        <v>1</v>
      </c>
      <c r="W49">
        <v>7</v>
      </c>
      <c r="X49">
        <v>5</v>
      </c>
      <c r="AA49">
        <v>12</v>
      </c>
      <c r="AF49">
        <v>1</v>
      </c>
      <c r="AG49">
        <v>6</v>
      </c>
      <c r="AH49">
        <v>5</v>
      </c>
      <c r="AO49">
        <v>12</v>
      </c>
      <c r="AQ49">
        <v>8</v>
      </c>
      <c r="AR49">
        <v>5</v>
      </c>
      <c r="AV49">
        <v>12</v>
      </c>
      <c r="AX49" t="s">
        <v>359</v>
      </c>
      <c r="BA49">
        <v>22</v>
      </c>
      <c r="BL49">
        <v>1</v>
      </c>
    </row>
    <row r="50" spans="1:182">
      <c r="A50" s="20">
        <v>37</v>
      </c>
      <c r="B50" t="s">
        <v>330</v>
      </c>
      <c r="C50" t="s">
        <v>331</v>
      </c>
      <c r="E50" s="35">
        <v>2</v>
      </c>
      <c r="F50">
        <v>2</v>
      </c>
      <c r="K50">
        <v>2</v>
      </c>
      <c r="L50" s="35">
        <v>33</v>
      </c>
      <c r="N50">
        <v>19</v>
      </c>
      <c r="O50" s="30">
        <v>14</v>
      </c>
      <c r="Q50" s="30">
        <v>33</v>
      </c>
    </row>
    <row r="51" spans="1:182">
      <c r="A51" s="20">
        <v>38</v>
      </c>
      <c r="B51" t="s">
        <v>332</v>
      </c>
      <c r="C51" t="s">
        <v>333</v>
      </c>
      <c r="E51" s="35">
        <v>2</v>
      </c>
      <c r="F51">
        <v>2</v>
      </c>
      <c r="K51">
        <v>2</v>
      </c>
      <c r="L51" s="35">
        <v>45</v>
      </c>
      <c r="N51">
        <v>17</v>
      </c>
      <c r="O51" s="30">
        <v>28</v>
      </c>
      <c r="Q51" s="30">
        <v>45</v>
      </c>
    </row>
    <row r="52" spans="1:182">
      <c r="A52" s="20">
        <v>39</v>
      </c>
      <c r="B52" t="s">
        <v>334</v>
      </c>
      <c r="C52" t="s">
        <v>333</v>
      </c>
      <c r="E52" s="35">
        <v>2</v>
      </c>
      <c r="F52">
        <v>2</v>
      </c>
      <c r="K52">
        <v>3</v>
      </c>
      <c r="L52" s="35">
        <v>62</v>
      </c>
      <c r="N52">
        <v>29</v>
      </c>
      <c r="O52" s="30">
        <v>33</v>
      </c>
      <c r="Q52" s="30">
        <v>62</v>
      </c>
    </row>
    <row r="53" spans="1:182">
      <c r="A53" s="26">
        <v>40</v>
      </c>
      <c r="B53" t="s">
        <v>335</v>
      </c>
      <c r="C53" t="s">
        <v>336</v>
      </c>
      <c r="D53" t="s">
        <v>361</v>
      </c>
      <c r="E53" s="35">
        <v>1</v>
      </c>
      <c r="F53">
        <v>1</v>
      </c>
      <c r="K53">
        <v>2</v>
      </c>
      <c r="L53" s="35">
        <v>10</v>
      </c>
      <c r="N53">
        <v>6</v>
      </c>
      <c r="O53" s="30">
        <v>4</v>
      </c>
      <c r="Q53" s="30">
        <v>10</v>
      </c>
      <c r="R53" s="22" t="s">
        <v>201</v>
      </c>
      <c r="S53" s="22" t="s">
        <v>192</v>
      </c>
      <c r="T53">
        <v>8</v>
      </c>
      <c r="U53">
        <v>2</v>
      </c>
      <c r="W53">
        <v>6</v>
      </c>
      <c r="X53">
        <v>2</v>
      </c>
      <c r="AA53">
        <v>8</v>
      </c>
      <c r="AN53">
        <v>8</v>
      </c>
      <c r="AO53">
        <v>8</v>
      </c>
      <c r="AQ53">
        <v>4</v>
      </c>
      <c r="AR53">
        <v>3</v>
      </c>
      <c r="AS53">
        <v>1</v>
      </c>
      <c r="AV53">
        <v>8</v>
      </c>
      <c r="AX53" t="s">
        <v>362</v>
      </c>
      <c r="AY53" t="s">
        <v>116</v>
      </c>
      <c r="BA53">
        <v>8</v>
      </c>
      <c r="EO53">
        <v>1</v>
      </c>
      <c r="FZ53">
        <v>1</v>
      </c>
    </row>
    <row r="55" spans="1:182">
      <c r="B55" s="37">
        <v>46023</v>
      </c>
    </row>
    <row r="69" spans="5:206" ht="17" thickBot="1">
      <c r="E69" s="24">
        <f>SUM(E4:E68)</f>
        <v>86</v>
      </c>
      <c r="F69" s="24">
        <f>SUM(F3:F68)</f>
        <v>76</v>
      </c>
      <c r="G69" s="24">
        <f>SUM(G3:G68)</f>
        <v>0</v>
      </c>
      <c r="H69" s="24">
        <f>SUM(H2:H68)</f>
        <v>3</v>
      </c>
      <c r="I69" s="24">
        <f>SUM(I3:I68)</f>
        <v>6</v>
      </c>
      <c r="J69" s="24"/>
      <c r="K69" s="24">
        <f>SUM(K4:K68)</f>
        <v>95</v>
      </c>
      <c r="L69" s="24">
        <f>SUM(L4:L68)</f>
        <v>2189</v>
      </c>
      <c r="M69" s="24"/>
      <c r="N69" s="24">
        <f>SUM(N5:N68)</f>
        <v>1254</v>
      </c>
      <c r="O69" s="24">
        <f>SUM(O5:O68)</f>
        <v>935</v>
      </c>
      <c r="P69" s="24">
        <f>SUM(P5:P68)</f>
        <v>0</v>
      </c>
      <c r="Q69" s="24">
        <f>SUM(Q5:Q68)</f>
        <v>2189</v>
      </c>
      <c r="R69" s="24"/>
      <c r="S69" s="24"/>
      <c r="T69" s="24">
        <f>SUM(T5:T68)</f>
        <v>719</v>
      </c>
      <c r="U69" s="24">
        <f>SUM(U5:U68)</f>
        <v>26</v>
      </c>
      <c r="V69" s="24"/>
      <c r="W69" s="24">
        <f>SUM(W5:W68)</f>
        <v>357</v>
      </c>
      <c r="X69" s="24">
        <f>SUM(X5:X68)</f>
        <v>358</v>
      </c>
      <c r="Y69" s="24">
        <f>SUM(Y5:Y68)</f>
        <v>2</v>
      </c>
      <c r="Z69" s="24">
        <f>SUM(Z5:Z68)</f>
        <v>2</v>
      </c>
      <c r="AA69" s="24">
        <f>SUM(AA5:AA68)</f>
        <v>719</v>
      </c>
      <c r="AB69" s="24"/>
      <c r="AC69" s="24">
        <f>SUM(AC5:AC68)</f>
        <v>12</v>
      </c>
      <c r="AD69" s="24">
        <f>SUM(AD4:AD68)</f>
        <v>1</v>
      </c>
      <c r="AE69" s="24">
        <f>SUM(AE5:AE68)</f>
        <v>0</v>
      </c>
      <c r="AF69" s="24">
        <f>SUM(AF5:AF68)</f>
        <v>82</v>
      </c>
      <c r="AG69" s="24">
        <f>SUM(AG5:AG68)</f>
        <v>266</v>
      </c>
      <c r="AH69" s="24">
        <f>SUM(AH5:AH68)</f>
        <v>218</v>
      </c>
      <c r="AI69" s="24">
        <f>SUM(AI5:AI68)</f>
        <v>132</v>
      </c>
      <c r="AJ69" s="24">
        <f>SUM(AJ4:AJ68)</f>
        <v>4</v>
      </c>
      <c r="AK69" s="24">
        <f>SUM(AK5:AK68)</f>
        <v>0</v>
      </c>
      <c r="AL69" s="24">
        <f>SUM(AL5:AL68)</f>
        <v>0</v>
      </c>
      <c r="AM69" s="24">
        <f>SUM(AM5:AM68)</f>
        <v>0</v>
      </c>
      <c r="AN69" s="24">
        <f>SUM(AN5:AN68)</f>
        <v>8</v>
      </c>
      <c r="AO69" s="24">
        <f>SUM(AO5:AO68)</f>
        <v>719</v>
      </c>
      <c r="AP69" s="24"/>
      <c r="AQ69" s="24">
        <f>SUM(AQ5:AQ68)</f>
        <v>381</v>
      </c>
      <c r="AR69" s="24">
        <f>SUM(AR5:AR68)</f>
        <v>247</v>
      </c>
      <c r="AS69" s="24">
        <f>SUM(AS5:AS68)</f>
        <v>63</v>
      </c>
      <c r="AT69" s="24">
        <f>SUM(AT5:AT68)</f>
        <v>13</v>
      </c>
      <c r="AU69" s="24">
        <f>SUM(AU5:AU59)</f>
        <v>16</v>
      </c>
      <c r="AV69" s="24">
        <f>SUM(AV3:AV59)</f>
        <v>719</v>
      </c>
      <c r="AW69" s="24"/>
      <c r="AX69" s="24"/>
      <c r="AY69" s="24"/>
      <c r="AZ69" s="24"/>
      <c r="BA69" s="24">
        <f>SUM(BA5:BA68)</f>
        <v>795</v>
      </c>
      <c r="BB69" s="24">
        <f>SUM(BB2:BB68)</f>
        <v>0</v>
      </c>
      <c r="BC69" s="24">
        <f>SUM(BC3:BC68)</f>
        <v>0</v>
      </c>
      <c r="BD69" s="24">
        <f>SUM(BD4:BD68)</f>
        <v>3</v>
      </c>
      <c r="BE69" s="24">
        <f>SUM(BE3:BE68)</f>
        <v>0</v>
      </c>
      <c r="BF69" s="24">
        <f>SUM(BF3:BF68)</f>
        <v>0</v>
      </c>
      <c r="BG69" s="24">
        <f>SUM(BG3:BG68)</f>
        <v>0</v>
      </c>
      <c r="BH69" s="24">
        <f>SUM(BH3:BH68)</f>
        <v>1</v>
      </c>
      <c r="BI69" s="24">
        <f>SUM(BI3:BI68)</f>
        <v>2</v>
      </c>
      <c r="BJ69" s="24">
        <f>SUM(BJ5:BJ68)</f>
        <v>1</v>
      </c>
      <c r="BK69" s="24">
        <f>SUM(BK5:BK68)</f>
        <v>2</v>
      </c>
      <c r="BL69" s="24">
        <f>SUM(BL4:BL68)</f>
        <v>10</v>
      </c>
      <c r="BM69" s="24">
        <f>SUM(BM3:BM68)</f>
        <v>0</v>
      </c>
      <c r="BN69" s="24">
        <f>SUM(BN3:BN67)</f>
        <v>1</v>
      </c>
      <c r="BO69" s="24">
        <f>SUM(BO3:BO68)</f>
        <v>3</v>
      </c>
      <c r="BP69" s="24">
        <f>SUM(BP3:BP68)</f>
        <v>1</v>
      </c>
      <c r="BQ69" s="24">
        <f>SUM(BQ4:BQ68)</f>
        <v>1</v>
      </c>
      <c r="BR69" s="24">
        <f>SUM(BR3:BR68)</f>
        <v>0</v>
      </c>
      <c r="BS69" s="24">
        <f>SUM(BS5:BS68)</f>
        <v>8</v>
      </c>
      <c r="BT69" s="24">
        <f>SUM(BT5:BT68)</f>
        <v>13</v>
      </c>
      <c r="BU69" s="24">
        <f>SUM(BU3:BU68)</f>
        <v>0</v>
      </c>
      <c r="BV69" s="24">
        <f>SUM(BV5:BV68)</f>
        <v>1</v>
      </c>
      <c r="BW69" s="24">
        <f>SUM(BW4:BW68)</f>
        <v>3</v>
      </c>
      <c r="BX69" s="24">
        <f>SUM(BX4:BX68)</f>
        <v>1</v>
      </c>
      <c r="BY69" s="24">
        <f>SUM(BY3:BY68)</f>
        <v>1</v>
      </c>
      <c r="BZ69" s="24">
        <f>SUM(BZ4:BZ68)</f>
        <v>2</v>
      </c>
      <c r="CA69" s="24">
        <f t="shared" ref="CA69:CP69" si="0">SUM(CA3:CA68)</f>
        <v>0</v>
      </c>
      <c r="CB69" s="24">
        <f t="shared" si="0"/>
        <v>0</v>
      </c>
      <c r="CC69" s="24">
        <f t="shared" si="0"/>
        <v>0</v>
      </c>
      <c r="CD69" s="24">
        <f t="shared" si="0"/>
        <v>0</v>
      </c>
      <c r="CE69" s="24">
        <f t="shared" si="0"/>
        <v>0</v>
      </c>
      <c r="CF69" s="24">
        <f t="shared" si="0"/>
        <v>9</v>
      </c>
      <c r="CG69" s="24">
        <f t="shared" si="0"/>
        <v>2</v>
      </c>
      <c r="CH69" s="24">
        <f t="shared" si="0"/>
        <v>0</v>
      </c>
      <c r="CI69" s="24">
        <f t="shared" si="0"/>
        <v>0</v>
      </c>
      <c r="CJ69" s="24">
        <f t="shared" si="0"/>
        <v>0</v>
      </c>
      <c r="CK69" s="24">
        <f t="shared" si="0"/>
        <v>0</v>
      </c>
      <c r="CL69" s="24">
        <f t="shared" si="0"/>
        <v>1</v>
      </c>
      <c r="CM69" s="24">
        <f t="shared" si="0"/>
        <v>1</v>
      </c>
      <c r="CN69" s="24">
        <f t="shared" si="0"/>
        <v>0</v>
      </c>
      <c r="CO69" s="24">
        <f t="shared" si="0"/>
        <v>0</v>
      </c>
      <c r="CP69" s="24">
        <f t="shared" si="0"/>
        <v>0</v>
      </c>
      <c r="CQ69" s="24">
        <f>SUM(CQ5:CQ68)</f>
        <v>2</v>
      </c>
      <c r="CR69" s="24">
        <f>SUM(CR3:CR68)</f>
        <v>0</v>
      </c>
      <c r="CS69" s="24">
        <f>SUM(CS3:CS68)</f>
        <v>0</v>
      </c>
      <c r="CT69" s="24">
        <f>SUM(CT3:CT68)</f>
        <v>0</v>
      </c>
      <c r="CU69" s="24">
        <f>SUM(CU3:CU68)</f>
        <v>0</v>
      </c>
      <c r="CV69" s="24">
        <f>SUM(CV3:CV68)</f>
        <v>0</v>
      </c>
      <c r="CW69" s="24">
        <f>SUM(CW5:CW68)</f>
        <v>5</v>
      </c>
      <c r="CX69" s="24">
        <f>SUM(CX3:CX68)</f>
        <v>4</v>
      </c>
      <c r="CY69" s="24">
        <f>SUM(CY3:CY68)</f>
        <v>0</v>
      </c>
      <c r="CZ69" s="24">
        <f>SUM(CZ3:CZ68)</f>
        <v>0</v>
      </c>
      <c r="DA69" s="24">
        <f>SUM(DA3:DA68)</f>
        <v>1</v>
      </c>
      <c r="DB69" s="24">
        <f>SUM(DB5:DB68)</f>
        <v>2</v>
      </c>
      <c r="DC69" s="24">
        <f t="shared" ref="DC69:DL69" si="1">SUM(DC3:DC68)</f>
        <v>2</v>
      </c>
      <c r="DD69" s="24">
        <f t="shared" si="1"/>
        <v>0</v>
      </c>
      <c r="DE69" s="24">
        <f t="shared" si="1"/>
        <v>0</v>
      </c>
      <c r="DF69" s="24">
        <f t="shared" si="1"/>
        <v>0</v>
      </c>
      <c r="DG69" s="24">
        <f t="shared" si="1"/>
        <v>0</v>
      </c>
      <c r="DH69" s="24">
        <f t="shared" si="1"/>
        <v>0</v>
      </c>
      <c r="DI69" s="24">
        <f t="shared" si="1"/>
        <v>0</v>
      </c>
      <c r="DJ69" s="24">
        <f t="shared" si="1"/>
        <v>0</v>
      </c>
      <c r="DK69" s="24">
        <f t="shared" si="1"/>
        <v>0</v>
      </c>
      <c r="DL69" s="24">
        <f t="shared" si="1"/>
        <v>0</v>
      </c>
      <c r="DM69" s="24">
        <f>SUM(DM4:DM68)</f>
        <v>1</v>
      </c>
      <c r="DN69" s="24">
        <f>SUM(DN3:DN68)</f>
        <v>0</v>
      </c>
      <c r="DO69" s="24">
        <f>SUM(DO3:DO68)</f>
        <v>0</v>
      </c>
      <c r="DP69" s="24">
        <f>SUM(DP3:DP68)</f>
        <v>0</v>
      </c>
      <c r="DQ69" s="24">
        <f>SUM(DQ3:DQ68)</f>
        <v>0</v>
      </c>
      <c r="DR69" s="24">
        <f>SUM(DR3:DR68)</f>
        <v>1</v>
      </c>
      <c r="DS69" s="24">
        <f>SUM(DS7:DS68)</f>
        <v>1</v>
      </c>
      <c r="DT69" s="24">
        <f>SUM(DT3:DT68)</f>
        <v>2</v>
      </c>
      <c r="DU69" s="24">
        <f>SUM(DU3:DU68)</f>
        <v>0</v>
      </c>
      <c r="DV69" s="24"/>
      <c r="DW69" s="24"/>
      <c r="DX69" s="24"/>
      <c r="DY69" s="24"/>
      <c r="DZ69" s="24"/>
      <c r="EA69" s="24"/>
      <c r="EB69" s="24"/>
      <c r="EC69" s="24"/>
      <c r="ED69" s="24"/>
      <c r="EE69" s="24"/>
      <c r="EF69" s="24"/>
      <c r="EG69" s="24"/>
      <c r="EH69" s="24"/>
      <c r="EI69" s="24"/>
      <c r="EJ69" s="24"/>
      <c r="EK69" s="24"/>
      <c r="EL69" s="24"/>
      <c r="EM69" s="24"/>
      <c r="EN69" s="24">
        <f>SUM(EN5:EN59)</f>
        <v>1</v>
      </c>
      <c r="EO69" s="24">
        <f>SUM(EO3:EO68)</f>
        <v>1</v>
      </c>
      <c r="EP69" s="24"/>
      <c r="EQ69" s="24"/>
      <c r="ER69" s="24">
        <f>SUM(ER3:ER59)</f>
        <v>1</v>
      </c>
      <c r="ES69" s="24"/>
      <c r="ET69" s="24"/>
      <c r="EU69" s="24">
        <f>SUM(EU3:EU59)</f>
        <v>1</v>
      </c>
      <c r="EV69" s="24"/>
      <c r="EW69" s="24">
        <f>SUM(EW3:EW59)</f>
        <v>4</v>
      </c>
      <c r="EX69" s="24"/>
      <c r="EY69" s="24">
        <f>SUM(EY7:EY59)</f>
        <v>1</v>
      </c>
      <c r="EZ69" s="24">
        <f>SUM(EZ4:EZ59)</f>
        <v>5</v>
      </c>
      <c r="FA69" s="24">
        <f>SUM(FA3:FA58)</f>
        <v>1</v>
      </c>
      <c r="FB69" s="24"/>
      <c r="FC69" s="24">
        <f>SUM(FC5:FC59)</f>
        <v>1</v>
      </c>
      <c r="FD69" s="24"/>
      <c r="FE69" s="24"/>
      <c r="FF69" s="24"/>
      <c r="FG69" s="24"/>
      <c r="FH69" s="24"/>
      <c r="FI69" s="24">
        <f>SUM(FI4:FI59)</f>
        <v>2</v>
      </c>
      <c r="FJ69" s="24"/>
      <c r="FK69" s="24"/>
      <c r="FL69" s="24">
        <f>SUM(FL4:FL59)</f>
        <v>1</v>
      </c>
      <c r="FM69" s="24">
        <f>SUM(FM3:FM59)</f>
        <v>2</v>
      </c>
      <c r="FN69" s="24"/>
      <c r="FO69" s="24"/>
      <c r="FP69" s="24">
        <f>SUM(FP5:FP59)</f>
        <v>30</v>
      </c>
      <c r="FQ69" s="24">
        <f>SUM(FQ3:FQ59)</f>
        <v>1</v>
      </c>
      <c r="FR69" s="24">
        <f>SUM(FR4:FR59)</f>
        <v>5</v>
      </c>
      <c r="FS69" s="24"/>
      <c r="FT69" s="24"/>
      <c r="FU69" s="24"/>
      <c r="FV69" s="24">
        <f>SUM(FV3:FV59)</f>
        <v>2</v>
      </c>
      <c r="FW69" s="24"/>
      <c r="FX69" s="24">
        <f>SUM(FX3:FX59)</f>
        <v>1</v>
      </c>
      <c r="FY69" s="24"/>
      <c r="FZ69" s="24">
        <f>SUM(FZ4:FZ59)</f>
        <v>2</v>
      </c>
      <c r="GA69" s="24"/>
      <c r="GB69" s="24">
        <f>SUM(GB4:GB59)</f>
        <v>3</v>
      </c>
      <c r="GC69" s="24">
        <f>SUM(GC3:GC59)</f>
        <v>2</v>
      </c>
      <c r="GD69" s="24"/>
      <c r="GE69" s="24"/>
      <c r="GF69" s="24"/>
      <c r="GG69" s="24"/>
      <c r="GH69" s="24"/>
      <c r="GI69" s="24"/>
      <c r="GJ69" s="24"/>
      <c r="GK69" s="24"/>
      <c r="GL69" s="24"/>
      <c r="GM69" s="24"/>
      <c r="GN69" s="24">
        <f>SUM(GN3:GN59)</f>
        <v>1</v>
      </c>
      <c r="GO69" s="24"/>
      <c r="GP69" s="24"/>
      <c r="GQ69" s="24"/>
      <c r="GR69" s="24"/>
      <c r="GS69" s="24"/>
      <c r="GT69" s="24"/>
      <c r="GU69" s="25"/>
      <c r="GV69" s="36"/>
      <c r="GW69" s="24"/>
      <c r="GX69" s="24">
        <f>SUM(GX15:GX59)</f>
        <v>1</v>
      </c>
    </row>
    <row r="70" spans="5:206" ht="17" thickTop="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D91B7-C237-F540-A2D8-BDDBB4634C6D}">
  <dimension ref="A1:FC61"/>
  <sheetViews>
    <sheetView topLeftCell="DF1" zoomScale="61" workbookViewId="0">
      <selection activeCell="DX53" sqref="DX53"/>
    </sheetView>
  </sheetViews>
  <sheetFormatPr baseColWidth="10" defaultRowHeight="16"/>
  <cols>
    <col min="2" max="2" width="15" customWidth="1"/>
    <col min="3" max="3" width="37.6640625" customWidth="1"/>
    <col min="4" max="4" width="21.5" customWidth="1"/>
    <col min="5" max="5" width="35.83203125" customWidth="1"/>
    <col min="9" max="9" width="10.33203125" customWidth="1"/>
    <col min="146" max="146" width="12.83203125" customWidth="1"/>
    <col min="149" max="149" width="16" customWidth="1"/>
    <col min="150" max="150" width="14.83203125" customWidth="1"/>
    <col min="151" max="151" width="15" customWidth="1"/>
    <col min="152" max="152" width="11.5" customWidth="1"/>
    <col min="154" max="154" width="16.83203125" customWidth="1"/>
  </cols>
  <sheetData>
    <row r="1" spans="1:159">
      <c r="A1" s="12" t="s">
        <v>1</v>
      </c>
      <c r="B1" s="9" t="s">
        <v>2</v>
      </c>
      <c r="C1" s="9" t="s">
        <v>3</v>
      </c>
      <c r="D1" s="2" t="s">
        <v>22</v>
      </c>
      <c r="E1" s="2" t="s">
        <v>23</v>
      </c>
      <c r="F1" s="2" t="s">
        <v>24</v>
      </c>
      <c r="G1" s="2" t="s">
        <v>25</v>
      </c>
      <c r="H1" s="2" t="s">
        <v>26</v>
      </c>
      <c r="I1" s="2" t="s">
        <v>27</v>
      </c>
      <c r="J1" s="2" t="s">
        <v>28</v>
      </c>
      <c r="K1" s="2" t="s">
        <v>29</v>
      </c>
      <c r="L1" s="2" t="s">
        <v>30</v>
      </c>
      <c r="M1" s="2" t="s">
        <v>31</v>
      </c>
      <c r="N1" s="2" t="s">
        <v>32</v>
      </c>
      <c r="O1" s="2" t="s">
        <v>33</v>
      </c>
      <c r="P1" s="2" t="s">
        <v>34</v>
      </c>
      <c r="Q1" s="2" t="s">
        <v>35</v>
      </c>
      <c r="R1" s="2" t="s">
        <v>36</v>
      </c>
      <c r="S1" s="2" t="s">
        <v>37</v>
      </c>
      <c r="T1" s="2" t="s">
        <v>38</v>
      </c>
      <c r="U1" s="2" t="s">
        <v>39</v>
      </c>
      <c r="V1" s="2" t="s">
        <v>40</v>
      </c>
      <c r="W1" s="2" t="s">
        <v>41</v>
      </c>
      <c r="X1" s="2" t="s">
        <v>42</v>
      </c>
      <c r="Y1" s="2" t="s">
        <v>43</v>
      </c>
      <c r="Z1" s="2" t="s">
        <v>44</v>
      </c>
      <c r="AA1" s="2" t="s">
        <v>45</v>
      </c>
      <c r="AB1" s="2" t="s">
        <v>46</v>
      </c>
      <c r="AC1" s="2" t="s">
        <v>47</v>
      </c>
      <c r="AD1" s="2" t="s">
        <v>48</v>
      </c>
      <c r="AE1" s="2" t="s">
        <v>49</v>
      </c>
      <c r="AF1" s="2" t="s">
        <v>50</v>
      </c>
      <c r="AG1" s="2" t="s">
        <v>51</v>
      </c>
      <c r="AH1" s="2" t="s">
        <v>52</v>
      </c>
      <c r="AI1" s="2" t="s">
        <v>53</v>
      </c>
      <c r="AJ1" s="2" t="s">
        <v>54</v>
      </c>
      <c r="AK1" s="2" t="s">
        <v>55</v>
      </c>
      <c r="AL1" s="2" t="s">
        <v>56</v>
      </c>
      <c r="AM1" s="7" t="s">
        <v>57</v>
      </c>
      <c r="AN1" s="7" t="s">
        <v>58</v>
      </c>
      <c r="AO1" s="2" t="s">
        <v>59</v>
      </c>
      <c r="AP1" s="2" t="s">
        <v>60</v>
      </c>
      <c r="AQ1" s="2" t="s">
        <v>61</v>
      </c>
      <c r="AR1" s="2" t="s">
        <v>62</v>
      </c>
      <c r="AS1" s="2" t="s">
        <v>63</v>
      </c>
      <c r="AT1" s="2" t="s">
        <v>64</v>
      </c>
      <c r="AU1" s="2" t="s">
        <v>65</v>
      </c>
      <c r="AV1" s="2" t="s">
        <v>66</v>
      </c>
      <c r="AW1" s="2" t="s">
        <v>67</v>
      </c>
      <c r="AX1" s="2" t="s">
        <v>68</v>
      </c>
      <c r="AY1" s="2" t="s">
        <v>69</v>
      </c>
      <c r="AZ1" s="2" t="s">
        <v>70</v>
      </c>
      <c r="BA1" s="2" t="s">
        <v>71</v>
      </c>
      <c r="BB1" s="2" t="s">
        <v>72</v>
      </c>
      <c r="BC1" s="2" t="s">
        <v>73</v>
      </c>
      <c r="BD1" s="2" t="s">
        <v>74</v>
      </c>
      <c r="BE1" s="2" t="s">
        <v>75</v>
      </c>
      <c r="BF1" s="2" t="s">
        <v>76</v>
      </c>
      <c r="BG1" s="8" t="s">
        <v>77</v>
      </c>
      <c r="BH1" s="2" t="s">
        <v>78</v>
      </c>
      <c r="BI1" s="2" t="s">
        <v>79</v>
      </c>
      <c r="BJ1" s="2" t="s">
        <v>80</v>
      </c>
      <c r="BK1" s="2" t="s">
        <v>81</v>
      </c>
      <c r="BL1" s="2" t="s">
        <v>82</v>
      </c>
      <c r="BM1" s="2" t="s">
        <v>83</v>
      </c>
      <c r="BN1" s="2" t="s">
        <v>84</v>
      </c>
      <c r="BO1" s="2" t="s">
        <v>85</v>
      </c>
      <c r="BP1" s="2" t="s">
        <v>86</v>
      </c>
      <c r="BQ1" s="2" t="s">
        <v>87</v>
      </c>
      <c r="BR1" s="2" t="s">
        <v>88</v>
      </c>
      <c r="BS1" s="2" t="s">
        <v>89</v>
      </c>
      <c r="BT1" s="2" t="s">
        <v>90</v>
      </c>
      <c r="BU1" s="2" t="s">
        <v>91</v>
      </c>
      <c r="BV1" s="2" t="s">
        <v>92</v>
      </c>
      <c r="BW1" s="8" t="s">
        <v>93</v>
      </c>
      <c r="BX1" s="2" t="s">
        <v>94</v>
      </c>
      <c r="BY1" s="8" t="s">
        <v>95</v>
      </c>
      <c r="BZ1" s="8" t="s">
        <v>96</v>
      </c>
      <c r="CA1" s="2" t="s">
        <v>97</v>
      </c>
      <c r="CB1" s="2" t="s">
        <v>98</v>
      </c>
      <c r="CC1" s="2" t="s">
        <v>99</v>
      </c>
      <c r="CD1" s="2" t="s">
        <v>100</v>
      </c>
      <c r="CE1" s="2" t="s">
        <v>101</v>
      </c>
      <c r="CF1" s="2" t="s">
        <v>102</v>
      </c>
      <c r="CG1" s="2" t="s">
        <v>103</v>
      </c>
      <c r="CH1" s="2" t="s">
        <v>104</v>
      </c>
      <c r="CI1" s="2" t="s">
        <v>105</v>
      </c>
      <c r="CJ1" s="2" t="s">
        <v>106</v>
      </c>
      <c r="CK1" s="2" t="s">
        <v>107</v>
      </c>
      <c r="CL1" s="9" t="s">
        <v>108</v>
      </c>
      <c r="CM1" s="2" t="s">
        <v>109</v>
      </c>
      <c r="CN1" s="8" t="s">
        <v>110</v>
      </c>
      <c r="CO1" s="2" t="s">
        <v>111</v>
      </c>
      <c r="CP1" s="2" t="s">
        <v>112</v>
      </c>
      <c r="CQ1" s="2" t="s">
        <v>113</v>
      </c>
      <c r="CR1" s="2" t="s">
        <v>114</v>
      </c>
      <c r="CS1" s="2" t="s">
        <v>115</v>
      </c>
      <c r="CT1" s="2" t="s">
        <v>116</v>
      </c>
      <c r="CU1" s="2" t="s">
        <v>117</v>
      </c>
      <c r="CV1" s="2" t="s">
        <v>118</v>
      </c>
      <c r="CW1" s="2" t="s">
        <v>119</v>
      </c>
      <c r="CX1" s="2" t="s">
        <v>120</v>
      </c>
      <c r="CY1" s="2" t="s">
        <v>121</v>
      </c>
      <c r="CZ1" s="2" t="s">
        <v>122</v>
      </c>
      <c r="DA1" s="2" t="s">
        <v>123</v>
      </c>
      <c r="DB1" s="2" t="s">
        <v>124</v>
      </c>
      <c r="DC1" s="2" t="s">
        <v>125</v>
      </c>
      <c r="DD1" s="2" t="s">
        <v>126</v>
      </c>
      <c r="DE1" s="8" t="s">
        <v>127</v>
      </c>
      <c r="DF1" s="8" t="s">
        <v>128</v>
      </c>
      <c r="DG1" s="2" t="s">
        <v>129</v>
      </c>
      <c r="DH1" s="8" t="s">
        <v>130</v>
      </c>
      <c r="DI1" s="2" t="s">
        <v>131</v>
      </c>
      <c r="DJ1" s="2" t="s">
        <v>132</v>
      </c>
      <c r="DK1" s="2" t="s">
        <v>133</v>
      </c>
      <c r="DL1" s="2" t="s">
        <v>134</v>
      </c>
      <c r="DM1" s="2" t="s">
        <v>135</v>
      </c>
      <c r="DN1" s="2" t="s">
        <v>136</v>
      </c>
      <c r="DO1" s="2" t="s">
        <v>137</v>
      </c>
      <c r="DP1" s="8" t="s">
        <v>138</v>
      </c>
      <c r="DQ1" s="2" t="s">
        <v>139</v>
      </c>
      <c r="DR1" s="2" t="s">
        <v>140</v>
      </c>
      <c r="DS1" s="2" t="s">
        <v>141</v>
      </c>
      <c r="DT1" s="8" t="s">
        <v>142</v>
      </c>
      <c r="DU1" s="2" t="s">
        <v>143</v>
      </c>
      <c r="DV1" s="2" t="s">
        <v>144</v>
      </c>
      <c r="DW1" s="2" t="s">
        <v>145</v>
      </c>
      <c r="DX1" s="2" t="s">
        <v>146</v>
      </c>
      <c r="DY1" s="2" t="s">
        <v>147</v>
      </c>
      <c r="DZ1" s="2" t="s">
        <v>148</v>
      </c>
      <c r="EA1" s="8" t="s">
        <v>149</v>
      </c>
      <c r="EB1" s="2" t="s">
        <v>150</v>
      </c>
      <c r="EC1" s="2" t="s">
        <v>151</v>
      </c>
      <c r="ED1" s="2" t="s">
        <v>152</v>
      </c>
      <c r="EE1" s="8" t="s">
        <v>153</v>
      </c>
      <c r="EF1" s="2" t="s">
        <v>154</v>
      </c>
      <c r="EG1" s="8" t="s">
        <v>155</v>
      </c>
      <c r="EH1" s="8" t="s">
        <v>156</v>
      </c>
      <c r="EI1" s="2" t="s">
        <v>157</v>
      </c>
      <c r="EJ1" s="2" t="s">
        <v>158</v>
      </c>
      <c r="EK1" s="2" t="s">
        <v>159</v>
      </c>
      <c r="EL1" s="9" t="s">
        <v>160</v>
      </c>
      <c r="EM1" s="2" t="s">
        <v>161</v>
      </c>
      <c r="EN1" s="2" t="s">
        <v>162</v>
      </c>
      <c r="EO1" s="5" t="s">
        <v>111</v>
      </c>
      <c r="EP1" s="2" t="s">
        <v>163</v>
      </c>
      <c r="EQ1" s="16" t="s">
        <v>164</v>
      </c>
      <c r="ER1" s="9" t="s">
        <v>165</v>
      </c>
      <c r="ES1" s="9" t="s">
        <v>166</v>
      </c>
      <c r="ET1" s="2" t="s">
        <v>167</v>
      </c>
      <c r="EU1" s="2" t="s">
        <v>168</v>
      </c>
      <c r="EV1" s="2" t="s">
        <v>169</v>
      </c>
      <c r="EW1" s="2" t="s">
        <v>170</v>
      </c>
      <c r="EX1" s="9" t="s">
        <v>178</v>
      </c>
      <c r="EY1" s="16" t="s">
        <v>179</v>
      </c>
      <c r="EZ1" s="9" t="s">
        <v>180</v>
      </c>
      <c r="FA1" s="11" t="s">
        <v>206</v>
      </c>
      <c r="FB1" s="22" t="s">
        <v>230</v>
      </c>
      <c r="FC1" s="22" t="s">
        <v>339</v>
      </c>
    </row>
    <row r="3" spans="1:159">
      <c r="A3" s="38">
        <v>45901</v>
      </c>
    </row>
    <row r="5" spans="1:159">
      <c r="A5" t="s">
        <v>188</v>
      </c>
      <c r="B5" t="s">
        <v>189</v>
      </c>
      <c r="C5" t="s">
        <v>190</v>
      </c>
      <c r="E5" t="s">
        <v>195</v>
      </c>
      <c r="BG5">
        <v>1</v>
      </c>
      <c r="DW5">
        <v>1</v>
      </c>
      <c r="DX5">
        <v>1</v>
      </c>
    </row>
    <row r="6" spans="1:159">
      <c r="A6" t="s">
        <v>198</v>
      </c>
      <c r="B6" t="s">
        <v>199</v>
      </c>
      <c r="C6" t="s">
        <v>200</v>
      </c>
      <c r="D6" t="s">
        <v>204</v>
      </c>
      <c r="E6" t="s">
        <v>205</v>
      </c>
      <c r="I6">
        <v>5</v>
      </c>
      <c r="N6">
        <v>1</v>
      </c>
      <c r="Q6">
        <v>2</v>
      </c>
      <c r="T6">
        <v>1</v>
      </c>
      <c r="AC6">
        <v>1</v>
      </c>
      <c r="BJ6">
        <v>1</v>
      </c>
      <c r="BM6">
        <v>1</v>
      </c>
      <c r="DE6">
        <v>1</v>
      </c>
      <c r="DF6">
        <v>1</v>
      </c>
      <c r="DQ6">
        <v>2</v>
      </c>
      <c r="DR6">
        <v>1</v>
      </c>
      <c r="EG6">
        <v>1</v>
      </c>
      <c r="FA6">
        <v>1</v>
      </c>
    </row>
    <row r="7" spans="1:159">
      <c r="A7" t="s">
        <v>209</v>
      </c>
      <c r="B7" t="s">
        <v>199</v>
      </c>
      <c r="C7" t="s">
        <v>200</v>
      </c>
      <c r="D7" t="s">
        <v>210</v>
      </c>
      <c r="E7" t="s">
        <v>211</v>
      </c>
      <c r="I7">
        <v>1</v>
      </c>
      <c r="M7">
        <v>1</v>
      </c>
      <c r="O7">
        <v>1</v>
      </c>
      <c r="Q7">
        <v>4</v>
      </c>
      <c r="Z7">
        <v>1</v>
      </c>
      <c r="AD7">
        <v>2</v>
      </c>
      <c r="AE7">
        <v>1</v>
      </c>
      <c r="AG7">
        <v>1</v>
      </c>
      <c r="BG7">
        <v>1</v>
      </c>
      <c r="BS7">
        <v>1</v>
      </c>
      <c r="BV7">
        <v>1</v>
      </c>
      <c r="CW7">
        <v>1</v>
      </c>
      <c r="DA7">
        <v>1</v>
      </c>
      <c r="DE7">
        <v>1</v>
      </c>
      <c r="DT7">
        <v>1</v>
      </c>
      <c r="EG7">
        <v>1</v>
      </c>
    </row>
    <row r="8" spans="1:159">
      <c r="A8" t="s">
        <v>213</v>
      </c>
      <c r="B8" t="s">
        <v>214</v>
      </c>
      <c r="C8" t="s">
        <v>215</v>
      </c>
    </row>
    <row r="10" spans="1:159">
      <c r="A10" s="38">
        <v>45931</v>
      </c>
    </row>
    <row r="12" spans="1:159">
      <c r="A12" t="s">
        <v>216</v>
      </c>
      <c r="B12" t="s">
        <v>214</v>
      </c>
      <c r="C12" t="s">
        <v>215</v>
      </c>
    </row>
    <row r="13" spans="1:159">
      <c r="A13" t="s">
        <v>217</v>
      </c>
      <c r="B13" t="s">
        <v>218</v>
      </c>
      <c r="C13" t="s">
        <v>219</v>
      </c>
    </row>
    <row r="14" spans="1:159">
      <c r="A14" t="s">
        <v>220</v>
      </c>
      <c r="B14" t="s">
        <v>221</v>
      </c>
      <c r="C14" t="s">
        <v>222</v>
      </c>
    </row>
    <row r="15" spans="1:159">
      <c r="A15" t="s">
        <v>223</v>
      </c>
      <c r="B15" t="s">
        <v>218</v>
      </c>
      <c r="C15" t="s">
        <v>219</v>
      </c>
      <c r="D15" t="s">
        <v>340</v>
      </c>
      <c r="Q15">
        <v>1</v>
      </c>
      <c r="X15">
        <v>3</v>
      </c>
    </row>
    <row r="16" spans="1:159">
      <c r="A16" t="s">
        <v>224</v>
      </c>
      <c r="B16" t="s">
        <v>225</v>
      </c>
      <c r="C16" t="s">
        <v>226</v>
      </c>
      <c r="D16" t="s">
        <v>229</v>
      </c>
      <c r="E16" t="s">
        <v>145</v>
      </c>
      <c r="I16">
        <v>2</v>
      </c>
      <c r="S16">
        <v>1</v>
      </c>
      <c r="X16">
        <v>2</v>
      </c>
      <c r="AC16">
        <v>1</v>
      </c>
      <c r="AG16">
        <v>1</v>
      </c>
      <c r="FB16">
        <v>1</v>
      </c>
    </row>
    <row r="17" spans="1:159">
      <c r="A17" t="s">
        <v>235</v>
      </c>
      <c r="B17" t="s">
        <v>236</v>
      </c>
      <c r="C17" t="s">
        <v>237</v>
      </c>
    </row>
    <row r="18" spans="1:159">
      <c r="A18" t="s">
        <v>238</v>
      </c>
      <c r="B18" t="s">
        <v>236</v>
      </c>
      <c r="C18" t="s">
        <v>237</v>
      </c>
      <c r="D18" t="s">
        <v>255</v>
      </c>
      <c r="E18" t="s">
        <v>256</v>
      </c>
      <c r="G18">
        <v>1</v>
      </c>
      <c r="I18">
        <v>3</v>
      </c>
      <c r="Q18">
        <v>2</v>
      </c>
      <c r="V18">
        <v>1</v>
      </c>
      <c r="X18">
        <v>2</v>
      </c>
      <c r="AB18">
        <v>2</v>
      </c>
      <c r="AC18">
        <v>2</v>
      </c>
      <c r="BB18">
        <v>1</v>
      </c>
      <c r="CJ18">
        <v>1</v>
      </c>
      <c r="DU18">
        <v>3</v>
      </c>
      <c r="DX18">
        <v>1</v>
      </c>
      <c r="EE18">
        <v>1</v>
      </c>
    </row>
    <row r="19" spans="1:159">
      <c r="A19" t="s">
        <v>239</v>
      </c>
      <c r="B19" t="s">
        <v>240</v>
      </c>
      <c r="C19" t="s">
        <v>241</v>
      </c>
    </row>
    <row r="20" spans="1:159">
      <c r="A20" t="s">
        <v>242</v>
      </c>
      <c r="B20" t="s">
        <v>243</v>
      </c>
      <c r="C20" t="s">
        <v>244</v>
      </c>
      <c r="D20" t="s">
        <v>259</v>
      </c>
      <c r="E20" t="s">
        <v>260</v>
      </c>
      <c r="I20">
        <v>3</v>
      </c>
      <c r="X20">
        <v>1</v>
      </c>
      <c r="BJ20">
        <v>1</v>
      </c>
      <c r="CF20">
        <v>1</v>
      </c>
      <c r="CT20">
        <v>1</v>
      </c>
      <c r="DQ20">
        <v>1</v>
      </c>
      <c r="DR20">
        <v>4</v>
      </c>
      <c r="DU20">
        <v>6</v>
      </c>
      <c r="DW20">
        <v>1</v>
      </c>
    </row>
    <row r="21" spans="1:159">
      <c r="A21" t="s">
        <v>246</v>
      </c>
      <c r="B21" t="s">
        <v>243</v>
      </c>
      <c r="C21" t="s">
        <v>244</v>
      </c>
      <c r="D21" t="s">
        <v>343</v>
      </c>
      <c r="E21" t="s">
        <v>344</v>
      </c>
      <c r="I21">
        <v>2</v>
      </c>
      <c r="M21">
        <v>1</v>
      </c>
      <c r="Q21">
        <v>1</v>
      </c>
      <c r="T21">
        <v>1</v>
      </c>
      <c r="X21">
        <v>6</v>
      </c>
      <c r="AC21">
        <v>1</v>
      </c>
      <c r="BD21">
        <v>1</v>
      </c>
      <c r="BJ21">
        <v>1</v>
      </c>
      <c r="CF21">
        <v>1</v>
      </c>
      <c r="DE21">
        <v>1</v>
      </c>
      <c r="DQ21">
        <v>1</v>
      </c>
      <c r="DU21">
        <v>3</v>
      </c>
      <c r="DW21">
        <v>1</v>
      </c>
    </row>
    <row r="22" spans="1:159">
      <c r="A22" t="s">
        <v>247</v>
      </c>
      <c r="B22" t="s">
        <v>248</v>
      </c>
      <c r="C22" t="s">
        <v>274</v>
      </c>
      <c r="D22" t="s">
        <v>276</v>
      </c>
      <c r="I22">
        <v>3</v>
      </c>
      <c r="J22">
        <v>2</v>
      </c>
      <c r="Q22">
        <v>9</v>
      </c>
      <c r="BZ22">
        <v>1</v>
      </c>
      <c r="DW22">
        <v>1</v>
      </c>
      <c r="DY22">
        <v>1</v>
      </c>
      <c r="EG22">
        <v>1</v>
      </c>
    </row>
    <row r="23" spans="1:159">
      <c r="A23" t="s">
        <v>249</v>
      </c>
      <c r="B23" t="s">
        <v>250</v>
      </c>
      <c r="C23" t="s">
        <v>251</v>
      </c>
      <c r="D23" t="s">
        <v>280</v>
      </c>
      <c r="E23" t="s">
        <v>281</v>
      </c>
      <c r="F23">
        <v>2</v>
      </c>
      <c r="I23">
        <v>2</v>
      </c>
      <c r="Q23">
        <v>7</v>
      </c>
      <c r="V23">
        <v>1</v>
      </c>
      <c r="Y23">
        <v>1</v>
      </c>
      <c r="AC23">
        <v>1</v>
      </c>
      <c r="BB23">
        <v>1</v>
      </c>
      <c r="DU23">
        <v>2</v>
      </c>
      <c r="DW23">
        <v>1</v>
      </c>
    </row>
    <row r="24" spans="1:159">
      <c r="A24" t="s">
        <v>252</v>
      </c>
      <c r="B24" t="s">
        <v>250</v>
      </c>
      <c r="C24" t="s">
        <v>251</v>
      </c>
      <c r="D24" t="s">
        <v>284</v>
      </c>
      <c r="E24" t="s">
        <v>285</v>
      </c>
      <c r="I24">
        <v>1</v>
      </c>
      <c r="M24">
        <v>1</v>
      </c>
      <c r="Q24">
        <v>1</v>
      </c>
      <c r="V24">
        <v>1</v>
      </c>
      <c r="AC24">
        <v>1</v>
      </c>
      <c r="AF24">
        <v>1</v>
      </c>
      <c r="BG24">
        <v>1</v>
      </c>
      <c r="BY24">
        <v>1</v>
      </c>
      <c r="DE24">
        <v>1</v>
      </c>
      <c r="DU24">
        <v>1</v>
      </c>
      <c r="EA24">
        <v>1</v>
      </c>
    </row>
    <row r="26" spans="1:159">
      <c r="A26" s="38">
        <v>45962</v>
      </c>
    </row>
    <row r="28" spans="1:159">
      <c r="A28" t="s">
        <v>261</v>
      </c>
      <c r="B28" t="s">
        <v>262</v>
      </c>
      <c r="C28" t="s">
        <v>288</v>
      </c>
      <c r="D28" t="s">
        <v>289</v>
      </c>
      <c r="E28" t="s">
        <v>290</v>
      </c>
      <c r="I28">
        <v>1</v>
      </c>
      <c r="J28">
        <v>1</v>
      </c>
      <c r="M28">
        <v>1</v>
      </c>
      <c r="Q28">
        <v>3</v>
      </c>
      <c r="X28">
        <v>2</v>
      </c>
      <c r="Y28">
        <v>1</v>
      </c>
      <c r="AA28">
        <v>1</v>
      </c>
      <c r="AD28">
        <v>2</v>
      </c>
      <c r="AE28">
        <v>1</v>
      </c>
      <c r="AN28">
        <v>1</v>
      </c>
      <c r="BG28">
        <v>2</v>
      </c>
      <c r="DE28">
        <v>1</v>
      </c>
      <c r="DR28">
        <v>3</v>
      </c>
      <c r="DU28">
        <v>1</v>
      </c>
      <c r="EG28">
        <v>1</v>
      </c>
    </row>
    <row r="29" spans="1:159">
      <c r="A29" t="s">
        <v>263</v>
      </c>
      <c r="B29" t="s">
        <v>262</v>
      </c>
      <c r="C29" t="s">
        <v>288</v>
      </c>
      <c r="D29" t="s">
        <v>292</v>
      </c>
      <c r="E29" t="s">
        <v>293</v>
      </c>
      <c r="I29">
        <v>3</v>
      </c>
      <c r="J29">
        <v>1</v>
      </c>
      <c r="M29">
        <v>2</v>
      </c>
      <c r="O29">
        <v>1</v>
      </c>
      <c r="Q29">
        <v>3</v>
      </c>
      <c r="T29">
        <v>1</v>
      </c>
      <c r="AL29">
        <v>1</v>
      </c>
      <c r="BB29">
        <v>1</v>
      </c>
      <c r="BG29">
        <v>1</v>
      </c>
      <c r="DE29">
        <v>2</v>
      </c>
      <c r="DQ29">
        <v>1</v>
      </c>
      <c r="DR29">
        <v>3</v>
      </c>
      <c r="DU29">
        <v>5</v>
      </c>
      <c r="DX29">
        <v>1</v>
      </c>
      <c r="EC29">
        <v>1</v>
      </c>
      <c r="EG29">
        <v>1</v>
      </c>
    </row>
    <row r="30" spans="1:159">
      <c r="A30" t="s">
        <v>264</v>
      </c>
      <c r="B30" t="s">
        <v>265</v>
      </c>
      <c r="C30" t="s">
        <v>294</v>
      </c>
      <c r="D30" t="s">
        <v>297</v>
      </c>
      <c r="E30" t="s">
        <v>298</v>
      </c>
      <c r="F30">
        <v>2</v>
      </c>
      <c r="Y30">
        <v>1</v>
      </c>
      <c r="DE30">
        <v>1</v>
      </c>
      <c r="DQ30">
        <v>1</v>
      </c>
      <c r="DR30">
        <v>3</v>
      </c>
      <c r="EE30">
        <v>1</v>
      </c>
    </row>
    <row r="31" spans="1:159">
      <c r="A31" t="s">
        <v>267</v>
      </c>
      <c r="B31" t="s">
        <v>268</v>
      </c>
      <c r="D31" t="s">
        <v>348</v>
      </c>
      <c r="J31">
        <v>3</v>
      </c>
      <c r="M31">
        <v>1</v>
      </c>
      <c r="Q31">
        <v>2</v>
      </c>
      <c r="T31">
        <v>1</v>
      </c>
      <c r="V31">
        <v>1</v>
      </c>
      <c r="X31">
        <v>3</v>
      </c>
      <c r="Y31">
        <v>1</v>
      </c>
      <c r="AA31">
        <v>1</v>
      </c>
      <c r="AB31">
        <v>1</v>
      </c>
      <c r="AX31">
        <v>2</v>
      </c>
      <c r="AY31">
        <v>1</v>
      </c>
      <c r="BA31">
        <v>1</v>
      </c>
      <c r="BB31">
        <v>13</v>
      </c>
      <c r="BG31">
        <v>1</v>
      </c>
      <c r="BH31">
        <v>1</v>
      </c>
      <c r="BV31">
        <v>1</v>
      </c>
      <c r="CK31">
        <v>1</v>
      </c>
      <c r="DQ31">
        <v>1</v>
      </c>
      <c r="EE31">
        <v>3</v>
      </c>
      <c r="FC31">
        <v>1</v>
      </c>
    </row>
    <row r="32" spans="1:159">
      <c r="A32" t="s">
        <v>269</v>
      </c>
      <c r="B32" t="s">
        <v>270</v>
      </c>
    </row>
    <row r="33" spans="1:32">
      <c r="A33" t="s">
        <v>303</v>
      </c>
      <c r="B33" t="s">
        <v>304</v>
      </c>
      <c r="C33" t="s">
        <v>305</v>
      </c>
    </row>
    <row r="34" spans="1:32">
      <c r="A34" t="s">
        <v>272</v>
      </c>
      <c r="B34" t="s">
        <v>273</v>
      </c>
    </row>
    <row r="35" spans="1:32">
      <c r="A35" t="s">
        <v>311</v>
      </c>
      <c r="B35" t="s">
        <v>307</v>
      </c>
      <c r="C35" t="s">
        <v>349</v>
      </c>
      <c r="D35" t="s">
        <v>351</v>
      </c>
      <c r="I35">
        <v>2</v>
      </c>
      <c r="Q35">
        <v>3</v>
      </c>
      <c r="V35">
        <v>1</v>
      </c>
    </row>
    <row r="36" spans="1:32">
      <c r="A36" t="s">
        <v>312</v>
      </c>
      <c r="B36" t="s">
        <v>309</v>
      </c>
    </row>
    <row r="37" spans="1:32">
      <c r="A37" t="s">
        <v>313</v>
      </c>
      <c r="B37" t="s">
        <v>310</v>
      </c>
    </row>
    <row r="38" spans="1:32">
      <c r="A38" t="s">
        <v>314</v>
      </c>
      <c r="B38" t="s">
        <v>315</v>
      </c>
    </row>
    <row r="39" spans="1:32">
      <c r="A39" t="s">
        <v>316</v>
      </c>
      <c r="B39" t="s">
        <v>317</v>
      </c>
      <c r="C39" t="s">
        <v>294</v>
      </c>
      <c r="D39" t="s">
        <v>354</v>
      </c>
      <c r="F39">
        <v>1</v>
      </c>
      <c r="I39">
        <v>2</v>
      </c>
      <c r="T39">
        <v>1</v>
      </c>
      <c r="AF39">
        <v>2</v>
      </c>
    </row>
    <row r="40" spans="1:32">
      <c r="A40" t="s">
        <v>318</v>
      </c>
      <c r="B40" t="s">
        <v>319</v>
      </c>
    </row>
    <row r="41" spans="1:32">
      <c r="A41" t="s">
        <v>320</v>
      </c>
      <c r="B41" t="s">
        <v>319</v>
      </c>
    </row>
    <row r="43" spans="1:32">
      <c r="A43" s="38">
        <v>45992</v>
      </c>
    </row>
    <row r="45" spans="1:32">
      <c r="A45" t="s">
        <v>321</v>
      </c>
      <c r="B45" t="s">
        <v>322</v>
      </c>
    </row>
    <row r="46" spans="1:32">
      <c r="A46" t="s">
        <v>323</v>
      </c>
      <c r="B46" t="s">
        <v>322</v>
      </c>
    </row>
    <row r="47" spans="1:32">
      <c r="A47" t="s">
        <v>325</v>
      </c>
      <c r="B47" t="s">
        <v>327</v>
      </c>
    </row>
    <row r="48" spans="1:32">
      <c r="A48" t="s">
        <v>326</v>
      </c>
      <c r="B48" t="s">
        <v>327</v>
      </c>
    </row>
    <row r="49" spans="1:159">
      <c r="A49" t="s">
        <v>328</v>
      </c>
      <c r="B49" t="s">
        <v>329</v>
      </c>
      <c r="C49" t="s">
        <v>356</v>
      </c>
      <c r="D49" t="s">
        <v>360</v>
      </c>
      <c r="J49">
        <v>1</v>
      </c>
      <c r="Q49">
        <v>2</v>
      </c>
      <c r="V49">
        <v>1</v>
      </c>
      <c r="AO49">
        <v>1</v>
      </c>
      <c r="DE49">
        <v>1</v>
      </c>
      <c r="DP49">
        <v>1</v>
      </c>
    </row>
    <row r="50" spans="1:159">
      <c r="A50" t="s">
        <v>330</v>
      </c>
      <c r="B50" t="s">
        <v>331</v>
      </c>
    </row>
    <row r="51" spans="1:159">
      <c r="A51" t="s">
        <v>332</v>
      </c>
      <c r="B51" t="s">
        <v>333</v>
      </c>
    </row>
    <row r="52" spans="1:159">
      <c r="A52" t="s">
        <v>334</v>
      </c>
      <c r="B52" t="s">
        <v>333</v>
      </c>
    </row>
    <row r="53" spans="1:159">
      <c r="A53" t="s">
        <v>335</v>
      </c>
      <c r="B53" t="s">
        <v>336</v>
      </c>
      <c r="C53" t="s">
        <v>361</v>
      </c>
      <c r="D53" t="s">
        <v>363</v>
      </c>
      <c r="Q53">
        <v>1</v>
      </c>
      <c r="DW53">
        <v>1</v>
      </c>
    </row>
    <row r="60" spans="1:159" ht="17" thickBot="1">
      <c r="F60" s="24">
        <f>SUM(F3:F59)</f>
        <v>5</v>
      </c>
      <c r="G60" s="24">
        <f>SUM(G2:G59)</f>
        <v>1</v>
      </c>
      <c r="H60" s="24"/>
      <c r="I60" s="24">
        <f>SUM(I4:I59)</f>
        <v>30</v>
      </c>
      <c r="J60" s="24">
        <f>SUM(J3:J59)</f>
        <v>8</v>
      </c>
      <c r="K60" s="24"/>
      <c r="L60" s="24"/>
      <c r="M60" s="24">
        <f>SUM(M5:M59)</f>
        <v>7</v>
      </c>
      <c r="N60" s="24">
        <f>SUM(N4:N59)</f>
        <v>1</v>
      </c>
      <c r="O60" s="24">
        <f>SUM(O5:O59)</f>
        <v>2</v>
      </c>
      <c r="P60" s="24"/>
      <c r="Q60" s="24">
        <f>SUM(Q4:Q59)</f>
        <v>41</v>
      </c>
      <c r="R60" s="24"/>
      <c r="S60" s="24">
        <f>SUM(S3:S59)</f>
        <v>1</v>
      </c>
      <c r="T60" s="24">
        <f>SUM(T4:T59)</f>
        <v>5</v>
      </c>
      <c r="U60" s="24"/>
      <c r="V60" s="24">
        <f>SUM(V3:V59)</f>
        <v>6</v>
      </c>
      <c r="W60" s="24"/>
      <c r="X60" s="24">
        <f>SUM(X4:X59)</f>
        <v>19</v>
      </c>
      <c r="Y60" s="24">
        <f>SUM(Y3:Y59)</f>
        <v>4</v>
      </c>
      <c r="Z60" s="24">
        <f>SUM(Z4:Z59)</f>
        <v>1</v>
      </c>
      <c r="AA60" s="24">
        <f>SUM(AA3:AA59)</f>
        <v>2</v>
      </c>
      <c r="AB60" s="24">
        <f>SUM(AB2:AB59)</f>
        <v>3</v>
      </c>
      <c r="AC60" s="24">
        <f>SUM(AC4:AC59)</f>
        <v>7</v>
      </c>
      <c r="AD60" s="24">
        <f>SUM(AD5:AD59)</f>
        <v>4</v>
      </c>
      <c r="AE60" s="24">
        <f>SUM(AE4:AE59)</f>
        <v>2</v>
      </c>
      <c r="AF60" s="24">
        <f>SUM(AF3:AF59)</f>
        <v>3</v>
      </c>
      <c r="AG60" s="24">
        <f>SUM(AG3:AG59)</f>
        <v>2</v>
      </c>
      <c r="AH60" s="24"/>
      <c r="AI60" s="24"/>
      <c r="AJ60" s="24"/>
      <c r="AK60" s="24"/>
      <c r="AL60" s="24">
        <f>SUM(AL3:AL59)</f>
        <v>1</v>
      </c>
      <c r="AM60" s="24"/>
      <c r="AN60" s="24">
        <f>SUM(AN3:AN59)</f>
        <v>1</v>
      </c>
      <c r="AO60" s="24">
        <f>SUM(AO3:AO59)</f>
        <v>1</v>
      </c>
      <c r="AP60" s="24"/>
      <c r="AQ60" s="24"/>
      <c r="AR60" s="24"/>
      <c r="AS60" s="24"/>
      <c r="AT60" s="24"/>
      <c r="AU60" s="24"/>
      <c r="AV60" s="24"/>
      <c r="AW60" s="24"/>
      <c r="AX60" s="24">
        <f>SUM(AX3:AX59)</f>
        <v>2</v>
      </c>
      <c r="AY60" s="24">
        <f>SUM(AY3:AY59)</f>
        <v>1</v>
      </c>
      <c r="AZ60" s="24"/>
      <c r="BA60" s="24">
        <f>SUM(BA3:BA59)</f>
        <v>1</v>
      </c>
      <c r="BB60" s="24">
        <f>SUM(BB3:BB59)</f>
        <v>16</v>
      </c>
      <c r="BC60" s="24"/>
      <c r="BD60" s="24">
        <f>SUM(BD5:BD59)</f>
        <v>1</v>
      </c>
      <c r="BE60" s="24"/>
      <c r="BF60" s="24"/>
      <c r="BG60" s="24">
        <f>SUM(BG5:BG59)</f>
        <v>7</v>
      </c>
      <c r="BH60" s="24">
        <f>SUM(BH3:BH59)</f>
        <v>1</v>
      </c>
      <c r="BI60" s="24"/>
      <c r="BJ60" s="24">
        <f>SUM(BJ5:BJ59)</f>
        <v>3</v>
      </c>
      <c r="BK60" s="24"/>
      <c r="BL60" s="24"/>
      <c r="BM60" s="24">
        <f>SUM(BM4:BM59)</f>
        <v>1</v>
      </c>
      <c r="BN60" s="24"/>
      <c r="BO60" s="24"/>
      <c r="BP60" s="24"/>
      <c r="BQ60" s="24"/>
      <c r="BR60" s="24"/>
      <c r="BS60" s="24">
        <f>SUM(BS4:BS59)</f>
        <v>1</v>
      </c>
      <c r="BT60" s="24"/>
      <c r="BU60" s="24"/>
      <c r="BV60" s="24">
        <f>SUM(BV4:BV59)</f>
        <v>2</v>
      </c>
      <c r="BW60" s="24"/>
      <c r="BX60" s="24"/>
      <c r="BY60" s="24">
        <f>SUM(BY4:BY59)</f>
        <v>1</v>
      </c>
      <c r="BZ60" s="24">
        <f>SUM(BZ3:BZ59)</f>
        <v>1</v>
      </c>
      <c r="CA60" s="24"/>
      <c r="CB60" s="24"/>
      <c r="CC60" s="24"/>
      <c r="CD60" s="24"/>
      <c r="CE60" s="24"/>
      <c r="CF60" s="24">
        <f>SUM(CF3:CF59)</f>
        <v>2</v>
      </c>
      <c r="CG60" s="24"/>
      <c r="CH60" s="24"/>
      <c r="CI60" s="24"/>
      <c r="CJ60" s="24">
        <f>SUM(CJ3:CJ59)</f>
        <v>1</v>
      </c>
      <c r="CK60" s="24">
        <f>SUM(CK3:CK59)</f>
        <v>1</v>
      </c>
      <c r="CL60" s="24"/>
      <c r="CM60" s="24"/>
      <c r="CN60" s="24"/>
      <c r="CO60" s="24"/>
      <c r="CP60" s="24"/>
      <c r="CQ60" s="24"/>
      <c r="CR60" s="24"/>
      <c r="CS60" s="24"/>
      <c r="CT60" s="24">
        <f>SUM(CT3:CT59)</f>
        <v>1</v>
      </c>
      <c r="CU60" s="24"/>
      <c r="CV60" s="24"/>
      <c r="CW60" s="24">
        <f>SUM(CW5:CW59)</f>
        <v>1</v>
      </c>
      <c r="CX60" s="24"/>
      <c r="CY60" s="24"/>
      <c r="CZ60" s="24"/>
      <c r="DA60" s="24">
        <f>SUM(DA5:DA59)</f>
        <v>1</v>
      </c>
      <c r="DB60" s="24"/>
      <c r="DC60" s="24"/>
      <c r="DD60" s="24"/>
      <c r="DE60" s="24">
        <f>SUM(DE5:DE59)</f>
        <v>9</v>
      </c>
      <c r="DF60" s="24">
        <f>SUM(DF4:DF59)</f>
        <v>1</v>
      </c>
      <c r="DG60" s="24"/>
      <c r="DH60" s="24"/>
      <c r="DI60" s="24"/>
      <c r="DJ60" s="24"/>
      <c r="DK60" s="24"/>
      <c r="DL60" s="24"/>
      <c r="DM60" s="24"/>
      <c r="DN60" s="24"/>
      <c r="DO60" s="24"/>
      <c r="DP60" s="24">
        <f>SUM(DP3:DP59)</f>
        <v>1</v>
      </c>
      <c r="DQ60" s="24">
        <f>SUM(DQ4:DQ59)</f>
        <v>7</v>
      </c>
      <c r="DR60" s="24">
        <f>SUM(DR4:DR59)</f>
        <v>14</v>
      </c>
      <c r="DS60" s="24"/>
      <c r="DT60" s="24">
        <f>SUM(DT5:DT59)</f>
        <v>1</v>
      </c>
      <c r="DU60" s="24">
        <f>SUM(DU3:DU59)</f>
        <v>21</v>
      </c>
      <c r="DV60" s="24"/>
      <c r="DW60" s="24">
        <f>SUM(DW5:DW59)</f>
        <v>6</v>
      </c>
      <c r="DX60" s="24">
        <f>SUM(DX5:DX59)</f>
        <v>3</v>
      </c>
      <c r="DY60" s="24">
        <f>SUM(DY3:DY59)</f>
        <v>1</v>
      </c>
      <c r="DZ60" s="24"/>
      <c r="EA60" s="24">
        <f>SUM(EA3:EA59)</f>
        <v>1</v>
      </c>
      <c r="EB60" s="24"/>
      <c r="EC60" s="24">
        <f>SUM(EC3:EC59)</f>
        <v>1</v>
      </c>
      <c r="ED60" s="24"/>
      <c r="EE60" s="24">
        <f>SUM(EE3:EE59)</f>
        <v>5</v>
      </c>
      <c r="EF60" s="24"/>
      <c r="EG60" s="24">
        <f>SUM(EG4:EG59)</f>
        <v>5</v>
      </c>
      <c r="EH60" s="24"/>
      <c r="EI60" s="24"/>
      <c r="EJ60" s="24"/>
      <c r="EK60" s="24"/>
      <c r="EL60" s="24"/>
      <c r="EM60" s="24"/>
      <c r="EN60" s="24"/>
      <c r="EO60" s="24"/>
      <c r="EP60" s="24"/>
      <c r="EQ60" s="24"/>
      <c r="ER60" s="24"/>
      <c r="ES60" s="24"/>
      <c r="ET60" s="24"/>
      <c r="EU60" s="24"/>
      <c r="EV60" s="24"/>
      <c r="EW60" s="24"/>
      <c r="EX60" s="24"/>
      <c r="EY60" s="24"/>
      <c r="EZ60" s="24"/>
      <c r="FA60" s="24">
        <f>SUM(FA4:FA59)</f>
        <v>1</v>
      </c>
      <c r="FB60" s="24">
        <f>SUM(FB3:FB59)</f>
        <v>1</v>
      </c>
      <c r="FC60" s="24">
        <f>SUM(FC3:FC59)</f>
        <v>1</v>
      </c>
    </row>
    <row r="61" spans="1:159" ht="17" thickTop="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B4BB1-1C6B-E14E-996C-E6CEA22C39E3}">
  <dimension ref="A1:K53"/>
  <sheetViews>
    <sheetView topLeftCell="A10" zoomScale="83" workbookViewId="0">
      <selection activeCell="K53" sqref="K53"/>
    </sheetView>
  </sheetViews>
  <sheetFormatPr baseColWidth="10" defaultRowHeight="16"/>
  <cols>
    <col min="2" max="2" width="17.83203125" customWidth="1"/>
    <col min="3" max="3" width="38.33203125" customWidth="1"/>
    <col min="4" max="4" width="16.5" customWidth="1"/>
    <col min="5" max="5" width="17.1640625" customWidth="1"/>
    <col min="6" max="6" width="13" customWidth="1"/>
    <col min="7" max="7" width="17.1640625" customWidth="1"/>
    <col min="8" max="8" width="21.1640625" customWidth="1"/>
    <col min="9" max="9" width="15.5" customWidth="1"/>
    <col min="10" max="10" width="14.1640625" customWidth="1"/>
  </cols>
  <sheetData>
    <row r="1" spans="1:11">
      <c r="A1" s="2" t="s">
        <v>1</v>
      </c>
      <c r="B1" s="2" t="s">
        <v>2</v>
      </c>
      <c r="C1" s="2" t="s">
        <v>3</v>
      </c>
      <c r="D1" s="9" t="s">
        <v>181</v>
      </c>
      <c r="E1" s="9" t="s">
        <v>182</v>
      </c>
      <c r="F1" s="9" t="s">
        <v>183</v>
      </c>
      <c r="G1" s="9" t="s">
        <v>184</v>
      </c>
      <c r="H1" s="9" t="s">
        <v>185</v>
      </c>
      <c r="I1" s="9" t="s">
        <v>186</v>
      </c>
      <c r="J1" s="9" t="s">
        <v>187</v>
      </c>
    </row>
    <row r="2" spans="1:11">
      <c r="D2" s="13"/>
      <c r="E2" s="13"/>
      <c r="F2" s="13"/>
      <c r="G2" s="13"/>
      <c r="H2" s="13"/>
      <c r="I2" s="13"/>
      <c r="J2" s="13"/>
      <c r="K2" s="13"/>
    </row>
    <row r="3" spans="1:11">
      <c r="A3" s="38">
        <v>45901</v>
      </c>
      <c r="D3" s="13"/>
      <c r="E3" s="13"/>
      <c r="F3" s="13"/>
      <c r="G3" s="13"/>
      <c r="H3" s="13"/>
      <c r="I3" s="13"/>
      <c r="J3" s="13"/>
      <c r="K3" s="13"/>
    </row>
    <row r="4" spans="1:11">
      <c r="D4" s="13"/>
      <c r="E4" s="13"/>
      <c r="F4" s="13"/>
      <c r="G4" s="13"/>
      <c r="H4" s="13"/>
      <c r="I4" s="13"/>
      <c r="J4" s="13"/>
      <c r="K4" s="13"/>
    </row>
    <row r="5" spans="1:11">
      <c r="A5" s="13" t="s">
        <v>188</v>
      </c>
      <c r="B5" s="28" t="s">
        <v>189</v>
      </c>
      <c r="C5" s="28" t="s">
        <v>190</v>
      </c>
      <c r="D5" s="13" t="s">
        <v>196</v>
      </c>
      <c r="E5" s="13">
        <v>2</v>
      </c>
      <c r="F5" s="13" t="s">
        <v>196</v>
      </c>
      <c r="G5" s="13" t="s">
        <v>196</v>
      </c>
      <c r="H5" s="13" t="s">
        <v>196</v>
      </c>
      <c r="I5" s="13" t="s">
        <v>196</v>
      </c>
      <c r="J5" s="13" t="s">
        <v>192</v>
      </c>
      <c r="K5" s="13"/>
    </row>
    <row r="6" spans="1:11">
      <c r="A6" s="13" t="s">
        <v>198</v>
      </c>
      <c r="B6" s="13" t="s">
        <v>199</v>
      </c>
      <c r="C6" s="13" t="s">
        <v>200</v>
      </c>
      <c r="D6" s="13" t="s">
        <v>196</v>
      </c>
      <c r="E6" s="13">
        <v>2</v>
      </c>
      <c r="F6" s="13" t="s">
        <v>196</v>
      </c>
      <c r="G6" s="13" t="s">
        <v>196</v>
      </c>
      <c r="H6" s="13" t="s">
        <v>196</v>
      </c>
      <c r="I6" s="13" t="s">
        <v>196</v>
      </c>
      <c r="J6" s="13" t="s">
        <v>207</v>
      </c>
      <c r="K6" s="13"/>
    </row>
    <row r="7" spans="1:11">
      <c r="A7" s="13" t="s">
        <v>209</v>
      </c>
      <c r="B7" s="13" t="s">
        <v>199</v>
      </c>
      <c r="C7" s="13" t="s">
        <v>200</v>
      </c>
      <c r="D7" s="13" t="s">
        <v>196</v>
      </c>
      <c r="E7" s="13">
        <v>2</v>
      </c>
      <c r="F7" s="13" t="s">
        <v>196</v>
      </c>
      <c r="G7" s="13" t="s">
        <v>196</v>
      </c>
      <c r="H7" s="13" t="s">
        <v>196</v>
      </c>
      <c r="I7" s="13" t="s">
        <v>196</v>
      </c>
      <c r="J7" s="13" t="s">
        <v>192</v>
      </c>
      <c r="K7" s="13"/>
    </row>
    <row r="8" spans="1:11">
      <c r="A8" s="13" t="s">
        <v>213</v>
      </c>
      <c r="B8" s="13" t="s">
        <v>214</v>
      </c>
      <c r="C8" s="13" t="s">
        <v>215</v>
      </c>
      <c r="D8" s="13"/>
      <c r="E8" s="13"/>
      <c r="F8" s="13"/>
      <c r="G8" s="13"/>
      <c r="H8" s="13"/>
      <c r="I8" s="13"/>
      <c r="J8" s="13"/>
      <c r="K8" s="13"/>
    </row>
    <row r="10" spans="1:11">
      <c r="A10" s="38">
        <v>45931</v>
      </c>
    </row>
    <row r="12" spans="1:11">
      <c r="A12" s="13" t="s">
        <v>216</v>
      </c>
      <c r="B12" s="13" t="s">
        <v>214</v>
      </c>
      <c r="C12" s="13" t="s">
        <v>215</v>
      </c>
      <c r="D12" s="13"/>
      <c r="E12" s="13" t="s">
        <v>196</v>
      </c>
      <c r="F12" s="13" t="s">
        <v>196</v>
      </c>
      <c r="G12" s="13" t="s">
        <v>300</v>
      </c>
      <c r="H12" s="13" t="s">
        <v>196</v>
      </c>
      <c r="I12" s="13" t="s">
        <v>196</v>
      </c>
      <c r="J12" s="13"/>
      <c r="K12" s="13"/>
    </row>
    <row r="13" spans="1:11">
      <c r="A13" s="13" t="s">
        <v>217</v>
      </c>
      <c r="B13" s="13" t="s">
        <v>218</v>
      </c>
      <c r="C13" s="13" t="s">
        <v>219</v>
      </c>
      <c r="D13" s="13"/>
      <c r="E13" s="13"/>
      <c r="F13" s="13"/>
      <c r="G13" s="13"/>
      <c r="H13" s="13"/>
      <c r="I13" s="13"/>
      <c r="J13" s="13"/>
      <c r="K13" s="13"/>
    </row>
    <row r="14" spans="1:11">
      <c r="A14" s="13" t="s">
        <v>220</v>
      </c>
      <c r="B14" s="13" t="s">
        <v>221</v>
      </c>
      <c r="C14" s="13" t="s">
        <v>222</v>
      </c>
      <c r="D14" s="13"/>
      <c r="E14" s="13"/>
      <c r="F14" s="13"/>
      <c r="G14" s="13"/>
      <c r="H14" s="13"/>
      <c r="I14" s="13"/>
      <c r="J14" s="13"/>
      <c r="K14" s="13"/>
    </row>
    <row r="15" spans="1:11">
      <c r="A15" s="13" t="s">
        <v>223</v>
      </c>
      <c r="B15" s="13" t="s">
        <v>218</v>
      </c>
      <c r="C15" s="13" t="s">
        <v>219</v>
      </c>
      <c r="D15" s="13"/>
      <c r="E15" s="13"/>
      <c r="F15" s="13"/>
      <c r="G15" s="13"/>
      <c r="H15" s="13"/>
      <c r="I15" s="13"/>
      <c r="J15" s="13"/>
      <c r="K15" s="13"/>
    </row>
    <row r="16" spans="1:11">
      <c r="A16" s="13" t="s">
        <v>224</v>
      </c>
      <c r="B16" s="13" t="s">
        <v>225</v>
      </c>
      <c r="C16" s="13" t="s">
        <v>226</v>
      </c>
      <c r="D16" s="13" t="s">
        <v>196</v>
      </c>
      <c r="E16" s="13">
        <v>1</v>
      </c>
      <c r="F16" s="13" t="s">
        <v>196</v>
      </c>
      <c r="G16" s="13" t="s">
        <v>196</v>
      </c>
      <c r="H16" s="13" t="s">
        <v>231</v>
      </c>
      <c r="I16" s="13" t="s">
        <v>196</v>
      </c>
      <c r="J16" s="13" t="s">
        <v>192</v>
      </c>
      <c r="K16" s="13"/>
    </row>
    <row r="17" spans="1:11">
      <c r="A17" s="28" t="s">
        <v>235</v>
      </c>
      <c r="B17" s="28" t="s">
        <v>236</v>
      </c>
      <c r="C17" s="28" t="s">
        <v>237</v>
      </c>
      <c r="D17" s="13"/>
      <c r="E17" s="13"/>
      <c r="F17" s="13"/>
      <c r="G17" s="13"/>
      <c r="H17" s="13"/>
      <c r="I17" s="13"/>
      <c r="J17" s="13"/>
      <c r="K17" s="13"/>
    </row>
    <row r="18" spans="1:11">
      <c r="A18" s="28" t="s">
        <v>238</v>
      </c>
      <c r="B18" s="28" t="s">
        <v>236</v>
      </c>
      <c r="C18" s="28" t="s">
        <v>237</v>
      </c>
      <c r="D18" s="28" t="s">
        <v>196</v>
      </c>
      <c r="E18" s="13">
        <v>2</v>
      </c>
      <c r="F18" s="28" t="s">
        <v>196</v>
      </c>
      <c r="G18" s="28" t="s">
        <v>196</v>
      </c>
      <c r="H18" s="28" t="s">
        <v>196</v>
      </c>
      <c r="I18" s="28" t="s">
        <v>196</v>
      </c>
      <c r="J18" s="28" t="s">
        <v>192</v>
      </c>
      <c r="K18" s="13"/>
    </row>
    <row r="19" spans="1:11">
      <c r="A19" s="28" t="s">
        <v>239</v>
      </c>
      <c r="B19" s="28" t="s">
        <v>240</v>
      </c>
      <c r="C19" s="28" t="s">
        <v>241</v>
      </c>
      <c r="D19" s="13"/>
      <c r="E19" s="13"/>
      <c r="F19" s="13"/>
      <c r="G19" s="13"/>
      <c r="H19" s="13"/>
      <c r="I19" s="13"/>
      <c r="J19" s="13"/>
      <c r="K19" s="13"/>
    </row>
    <row r="20" spans="1:11">
      <c r="A20" s="28" t="s">
        <v>242</v>
      </c>
      <c r="B20" s="28" t="s">
        <v>243</v>
      </c>
      <c r="C20" s="28" t="s">
        <v>244</v>
      </c>
      <c r="D20" s="28" t="s">
        <v>345</v>
      </c>
      <c r="E20" s="13">
        <v>2</v>
      </c>
      <c r="F20" s="28" t="s">
        <v>196</v>
      </c>
      <c r="G20" s="28" t="s">
        <v>196</v>
      </c>
      <c r="H20" s="28" t="s">
        <v>196</v>
      </c>
      <c r="I20" s="28" t="s">
        <v>196</v>
      </c>
      <c r="J20" s="28" t="s">
        <v>192</v>
      </c>
      <c r="K20" s="13"/>
    </row>
    <row r="21" spans="1:11">
      <c r="A21" s="28" t="s">
        <v>246</v>
      </c>
      <c r="B21" s="28" t="s">
        <v>243</v>
      </c>
      <c r="C21" s="28" t="s">
        <v>244</v>
      </c>
      <c r="D21" s="13" t="s">
        <v>345</v>
      </c>
      <c r="E21" s="13">
        <v>2</v>
      </c>
      <c r="F21" s="13" t="s">
        <v>196</v>
      </c>
      <c r="G21" s="13" t="s">
        <v>196</v>
      </c>
      <c r="H21" s="13" t="s">
        <v>196</v>
      </c>
      <c r="I21" s="13" t="s">
        <v>196</v>
      </c>
      <c r="J21" s="13" t="s">
        <v>192</v>
      </c>
      <c r="K21" s="13"/>
    </row>
    <row r="22" spans="1:11">
      <c r="A22" s="28" t="s">
        <v>247</v>
      </c>
      <c r="B22" s="28" t="s">
        <v>248</v>
      </c>
      <c r="C22" s="28" t="s">
        <v>274</v>
      </c>
      <c r="D22" s="28" t="s">
        <v>196</v>
      </c>
      <c r="E22" s="13">
        <v>1</v>
      </c>
      <c r="F22" s="28" t="s">
        <v>196</v>
      </c>
      <c r="G22" s="28" t="s">
        <v>196</v>
      </c>
      <c r="H22" s="28" t="s">
        <v>196</v>
      </c>
      <c r="I22" s="28" t="s">
        <v>196</v>
      </c>
      <c r="J22" s="28" t="s">
        <v>192</v>
      </c>
      <c r="K22" s="13"/>
    </row>
    <row r="23" spans="1:11">
      <c r="A23" s="28" t="s">
        <v>249</v>
      </c>
      <c r="B23" s="28" t="s">
        <v>250</v>
      </c>
      <c r="C23" s="28" t="s">
        <v>251</v>
      </c>
      <c r="D23" s="13" t="s">
        <v>196</v>
      </c>
      <c r="E23" s="13">
        <v>1</v>
      </c>
      <c r="F23" s="13" t="s">
        <v>196</v>
      </c>
      <c r="G23" s="13" t="s">
        <v>196</v>
      </c>
      <c r="H23" s="13" t="s">
        <v>196</v>
      </c>
      <c r="I23" s="13" t="s">
        <v>196</v>
      </c>
      <c r="J23" s="13" t="s">
        <v>192</v>
      </c>
    </row>
    <row r="24" spans="1:11">
      <c r="A24" s="28" t="s">
        <v>252</v>
      </c>
      <c r="B24" s="28" t="s">
        <v>250</v>
      </c>
      <c r="C24" s="28" t="s">
        <v>251</v>
      </c>
      <c r="E24" s="13">
        <v>2</v>
      </c>
      <c r="F24" s="28" t="s">
        <v>196</v>
      </c>
      <c r="G24" s="28" t="s">
        <v>196</v>
      </c>
      <c r="H24" s="28" t="s">
        <v>301</v>
      </c>
      <c r="I24" s="28" t="s">
        <v>196</v>
      </c>
      <c r="J24" s="28" t="s">
        <v>192</v>
      </c>
    </row>
    <row r="26" spans="1:11">
      <c r="A26" s="38">
        <v>45962</v>
      </c>
    </row>
    <row r="28" spans="1:11">
      <c r="A28" s="13" t="s">
        <v>261</v>
      </c>
      <c r="B28" s="13" t="s">
        <v>262</v>
      </c>
      <c r="C28" s="13" t="s">
        <v>299</v>
      </c>
      <c r="D28" s="13" t="s">
        <v>196</v>
      </c>
      <c r="E28" s="13">
        <v>3</v>
      </c>
      <c r="F28" s="13" t="s">
        <v>196</v>
      </c>
      <c r="G28" s="13" t="s">
        <v>196</v>
      </c>
      <c r="H28" s="13" t="s">
        <v>196</v>
      </c>
      <c r="I28" s="13" t="s">
        <v>196</v>
      </c>
      <c r="J28" s="13" t="s">
        <v>207</v>
      </c>
    </row>
    <row r="29" spans="1:11">
      <c r="A29" s="13" t="s">
        <v>263</v>
      </c>
      <c r="B29" s="13" t="s">
        <v>262</v>
      </c>
      <c r="C29" s="13"/>
      <c r="J29" s="28" t="s">
        <v>207</v>
      </c>
    </row>
    <row r="30" spans="1:11">
      <c r="A30" s="13" t="s">
        <v>264</v>
      </c>
      <c r="B30" s="13" t="s">
        <v>265</v>
      </c>
      <c r="C30" s="28" t="s">
        <v>294</v>
      </c>
      <c r="D30" s="13" t="s">
        <v>302</v>
      </c>
      <c r="E30" s="13">
        <v>2</v>
      </c>
      <c r="F30" s="13" t="s">
        <v>196</v>
      </c>
      <c r="G30" s="13" t="s">
        <v>196</v>
      </c>
      <c r="H30" s="13" t="s">
        <v>196</v>
      </c>
      <c r="I30" s="13" t="s">
        <v>196</v>
      </c>
      <c r="J30" s="13" t="s">
        <v>207</v>
      </c>
    </row>
    <row r="31" spans="1:11">
      <c r="A31" s="13" t="s">
        <v>267</v>
      </c>
      <c r="B31" s="13" t="s">
        <v>268</v>
      </c>
      <c r="C31" s="13" t="s">
        <v>348</v>
      </c>
      <c r="D31" s="13" t="s">
        <v>196</v>
      </c>
      <c r="E31">
        <v>3</v>
      </c>
      <c r="F31" s="13" t="s">
        <v>196</v>
      </c>
      <c r="G31" s="13" t="s">
        <v>196</v>
      </c>
      <c r="H31" s="13" t="s">
        <v>196</v>
      </c>
      <c r="I31" s="13" t="s">
        <v>196</v>
      </c>
      <c r="J31" s="13" t="s">
        <v>192</v>
      </c>
    </row>
    <row r="32" spans="1:11">
      <c r="A32" s="13" t="s">
        <v>269</v>
      </c>
      <c r="B32" s="13" t="s">
        <v>270</v>
      </c>
      <c r="C32" s="13"/>
    </row>
    <row r="33" spans="1:10">
      <c r="A33" s="13" t="s">
        <v>303</v>
      </c>
      <c r="B33" s="13" t="s">
        <v>304</v>
      </c>
      <c r="C33" s="13" t="s">
        <v>305</v>
      </c>
    </row>
    <row r="34" spans="1:10">
      <c r="A34" s="13" t="s">
        <v>272</v>
      </c>
      <c r="B34" s="13" t="s">
        <v>273</v>
      </c>
      <c r="C34" s="13"/>
      <c r="D34" s="13"/>
      <c r="E34" s="13" t="s">
        <v>306</v>
      </c>
      <c r="F34" s="13">
        <v>2</v>
      </c>
      <c r="G34" s="13"/>
    </row>
    <row r="35" spans="1:10">
      <c r="A35" s="13" t="s">
        <v>311</v>
      </c>
      <c r="B35" s="13" t="s">
        <v>307</v>
      </c>
      <c r="C35" s="28" t="s">
        <v>349</v>
      </c>
      <c r="D35" s="13" t="s">
        <v>196</v>
      </c>
      <c r="E35" s="13">
        <v>2</v>
      </c>
      <c r="F35" s="13">
        <v>1</v>
      </c>
      <c r="G35" s="13" t="s">
        <v>196</v>
      </c>
      <c r="H35" s="13" t="s">
        <v>196</v>
      </c>
      <c r="I35" s="13" t="s">
        <v>196</v>
      </c>
      <c r="J35" s="13" t="s">
        <v>192</v>
      </c>
    </row>
    <row r="36" spans="1:10">
      <c r="A36" s="13" t="s">
        <v>312</v>
      </c>
      <c r="B36" s="13" t="s">
        <v>309</v>
      </c>
      <c r="C36" s="13"/>
    </row>
    <row r="37" spans="1:10">
      <c r="A37" s="13" t="s">
        <v>313</v>
      </c>
      <c r="B37" s="13" t="s">
        <v>310</v>
      </c>
      <c r="C37" s="13"/>
    </row>
    <row r="38" spans="1:10">
      <c r="A38" s="13" t="s">
        <v>314</v>
      </c>
      <c r="B38" s="13" t="s">
        <v>315</v>
      </c>
      <c r="C38" s="13"/>
    </row>
    <row r="39" spans="1:10">
      <c r="A39" s="13" t="s">
        <v>316</v>
      </c>
      <c r="B39" s="13" t="s">
        <v>317</v>
      </c>
      <c r="C39" s="13" t="s">
        <v>294</v>
      </c>
      <c r="D39" s="13" t="s">
        <v>355</v>
      </c>
      <c r="E39" s="13">
        <v>2</v>
      </c>
      <c r="F39" s="13" t="s">
        <v>196</v>
      </c>
      <c r="G39" s="13" t="s">
        <v>196</v>
      </c>
      <c r="H39" s="13" t="s">
        <v>196</v>
      </c>
      <c r="I39" s="13" t="s">
        <v>196</v>
      </c>
      <c r="J39" s="13" t="s">
        <v>192</v>
      </c>
    </row>
    <row r="40" spans="1:10">
      <c r="A40" s="13" t="s">
        <v>318</v>
      </c>
      <c r="B40" s="13" t="s">
        <v>319</v>
      </c>
      <c r="C40" s="13"/>
    </row>
    <row r="41" spans="1:10">
      <c r="A41" s="13" t="s">
        <v>320</v>
      </c>
      <c r="B41" s="13" t="s">
        <v>319</v>
      </c>
      <c r="C41" s="13"/>
    </row>
    <row r="43" spans="1:10">
      <c r="A43" s="38">
        <v>45992</v>
      </c>
    </row>
    <row r="45" spans="1:10">
      <c r="A45" s="13" t="s">
        <v>321</v>
      </c>
      <c r="B45" s="13" t="s">
        <v>322</v>
      </c>
      <c r="C45" s="13"/>
    </row>
    <row r="46" spans="1:10">
      <c r="A46" s="13" t="s">
        <v>323</v>
      </c>
      <c r="B46" s="13" t="s">
        <v>322</v>
      </c>
      <c r="C46" s="13"/>
    </row>
    <row r="47" spans="1:10">
      <c r="A47" s="13" t="s">
        <v>325</v>
      </c>
      <c r="B47" s="13" t="s">
        <v>327</v>
      </c>
      <c r="C47" s="13"/>
    </row>
    <row r="48" spans="1:10">
      <c r="A48" s="13" t="s">
        <v>326</v>
      </c>
      <c r="B48" s="13" t="s">
        <v>327</v>
      </c>
      <c r="C48" s="13"/>
    </row>
    <row r="49" spans="1:10">
      <c r="A49" s="13" t="s">
        <v>328</v>
      </c>
      <c r="B49" s="13" t="s">
        <v>329</v>
      </c>
      <c r="C49" s="13" t="s">
        <v>356</v>
      </c>
      <c r="D49" s="13" t="s">
        <v>196</v>
      </c>
      <c r="E49" s="13">
        <v>1</v>
      </c>
      <c r="F49" s="13" t="s">
        <v>196</v>
      </c>
      <c r="G49" s="13" t="s">
        <v>196</v>
      </c>
      <c r="H49" s="13" t="s">
        <v>196</v>
      </c>
      <c r="I49" s="13" t="s">
        <v>196</v>
      </c>
      <c r="J49" s="13" t="s">
        <v>192</v>
      </c>
    </row>
    <row r="50" spans="1:10">
      <c r="A50" s="13" t="s">
        <v>330</v>
      </c>
      <c r="B50" s="13" t="s">
        <v>331</v>
      </c>
      <c r="C50" s="13"/>
    </row>
    <row r="51" spans="1:10">
      <c r="A51" s="13" t="s">
        <v>332</v>
      </c>
      <c r="B51" s="13" t="s">
        <v>333</v>
      </c>
      <c r="C51" s="13"/>
    </row>
    <row r="52" spans="1:10">
      <c r="A52" s="13" t="s">
        <v>334</v>
      </c>
      <c r="B52" s="13" t="s">
        <v>333</v>
      </c>
      <c r="C52" s="13"/>
    </row>
    <row r="53" spans="1:10">
      <c r="A53" s="13" t="s">
        <v>335</v>
      </c>
      <c r="B53" s="13" t="s">
        <v>336</v>
      </c>
      <c r="C53" s="13"/>
      <c r="D53" t="s">
        <v>196</v>
      </c>
      <c r="E53" s="13" t="s">
        <v>196</v>
      </c>
      <c r="F53" s="13" t="s">
        <v>196</v>
      </c>
      <c r="G53" s="13" t="s">
        <v>196</v>
      </c>
      <c r="H53" s="13" t="s">
        <v>196</v>
      </c>
      <c r="I53" s="13" t="s">
        <v>196</v>
      </c>
      <c r="J53" s="13"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ADW Sep 25-May 26</vt:lpstr>
      <vt:lpstr>ADW Sep 25-May26</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 Sari</dc:creator>
  <cp:lastModifiedBy>Sari Sari</cp:lastModifiedBy>
  <dcterms:created xsi:type="dcterms:W3CDTF">2025-09-01T11:36:15Z</dcterms:created>
  <dcterms:modified xsi:type="dcterms:W3CDTF">2026-02-20T15:24:29Z</dcterms:modified>
</cp:coreProperties>
</file>