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i1/Desktop/SARI 2024/AD Workshop 2024/ADW Sept-Dec 2024/"/>
    </mc:Choice>
  </mc:AlternateContent>
  <xr:revisionPtr revIDLastSave="0" documentId="13_ncr:1_{81733AF0-C4E9-DA4D-987C-08CE48C70139}" xr6:coauthVersionLast="36" xr6:coauthVersionMax="47" xr10:uidLastSave="{00000000-0000-0000-0000-000000000000}"/>
  <bookViews>
    <workbookView xWindow="6060" yWindow="1260" windowWidth="28800" windowHeight="16260" xr2:uid="{BAD6C78C-E16A-8641-99DB-BB2CB12EE794}"/>
  </bookViews>
  <sheets>
    <sheet name="ADW Sept- Dec 2024 spread sheet" sheetId="1" r:id="rId1"/>
    <sheet name="ADW Sept-Dec Parent Nationality" sheetId="2" r:id="rId2"/>
    <sheet name="ADW Sept - Dec 2024 Not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" i="1" l="1"/>
  <c r="N35" i="1"/>
  <c r="Q35" i="1"/>
  <c r="L35" i="1"/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 l="1"/>
  <c r="K35" i="1" l="1"/>
  <c r="BR37" i="2"/>
  <c r="CS37" i="2"/>
  <c r="EM35" i="1"/>
  <c r="F32" i="3"/>
  <c r="E32" i="3"/>
  <c r="ED37" i="2" l="1"/>
  <c r="EE37" i="2"/>
  <c r="EF37" i="2"/>
  <c r="EG37" i="2"/>
  <c r="EH37" i="2"/>
  <c r="EI37" i="2"/>
  <c r="EJ37" i="2"/>
  <c r="EK37" i="2"/>
  <c r="EL37" i="2"/>
  <c r="EM37" i="2"/>
  <c r="EN37" i="2"/>
  <c r="EO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T37" i="2"/>
  <c r="CU37" i="2"/>
  <c r="BG37" i="2"/>
  <c r="BH37" i="2"/>
  <c r="BI37" i="2"/>
  <c r="BJ37" i="2"/>
  <c r="BK37" i="2"/>
  <c r="BL37" i="2"/>
  <c r="BM37" i="2"/>
  <c r="BN37" i="2"/>
  <c r="BP37" i="2"/>
  <c r="BQ37" i="2"/>
  <c r="BS37" i="2"/>
  <c r="BT37" i="2"/>
  <c r="BU37" i="2"/>
  <c r="BV37" i="2"/>
  <c r="BW37" i="2"/>
  <c r="BX37" i="2"/>
  <c r="BY37" i="2"/>
  <c r="BZ37" i="2"/>
  <c r="CA37" i="2"/>
  <c r="CB37" i="2"/>
  <c r="CC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FZ35" i="1"/>
  <c r="GA35" i="1"/>
  <c r="GB35" i="1"/>
  <c r="GC35" i="1"/>
  <c r="GD35" i="1"/>
  <c r="GE35" i="1"/>
  <c r="GF35" i="1"/>
  <c r="GG35" i="1"/>
  <c r="GH35" i="1"/>
  <c r="GI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ED35" i="1"/>
  <c r="EE35" i="1"/>
  <c r="EF35" i="1"/>
  <c r="EG35" i="1"/>
  <c r="EH35" i="1"/>
  <c r="EI35" i="1"/>
  <c r="EJ35" i="1"/>
  <c r="EK35" i="1"/>
  <c r="EL35" i="1"/>
  <c r="EN35" i="1"/>
  <c r="EO35" i="1"/>
  <c r="EP35" i="1"/>
  <c r="EQ35" i="1"/>
  <c r="ER35" i="1"/>
  <c r="ES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DF35" i="1"/>
  <c r="DG35" i="1"/>
  <c r="DH35" i="1"/>
  <c r="DI35" i="1"/>
  <c r="DK35" i="1"/>
  <c r="DL35" i="1"/>
  <c r="DM35" i="1"/>
  <c r="DN35" i="1"/>
  <c r="DO35" i="1"/>
  <c r="DP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AV35" i="1"/>
  <c r="AQ35" i="1"/>
  <c r="AR35" i="1"/>
  <c r="AS35" i="1"/>
  <c r="AT35" i="1"/>
  <c r="AU35" i="1"/>
  <c r="AO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W35" i="1"/>
  <c r="X35" i="1"/>
  <c r="Y35" i="1"/>
  <c r="Z35" i="1"/>
  <c r="AA35" i="1"/>
  <c r="T35" i="1"/>
  <c r="U35" i="1"/>
  <c r="P35" i="1"/>
  <c r="E35" i="1"/>
  <c r="F35" i="1"/>
  <c r="G35" i="1"/>
  <c r="H35" i="1"/>
  <c r="I35" i="1"/>
</calcChain>
</file>

<file path=xl/sharedStrings.xml><?xml version="1.0" encoding="utf-8"?>
<sst xmlns="http://schemas.openxmlformats.org/spreadsheetml/2006/main" count="791" uniqueCount="371">
  <si>
    <t>Ques.Reference</t>
  </si>
  <si>
    <t>Date</t>
  </si>
  <si>
    <t>Name of School</t>
  </si>
  <si>
    <t>Location</t>
  </si>
  <si>
    <t>No. Sessions</t>
  </si>
  <si>
    <t>Leinster</t>
  </si>
  <si>
    <t>Munster</t>
  </si>
  <si>
    <t>Connacht </t>
  </si>
  <si>
    <t>Ulster</t>
  </si>
  <si>
    <t>No of teachers</t>
  </si>
  <si>
    <t>No. Participants</t>
  </si>
  <si>
    <t>Gender</t>
  </si>
  <si>
    <t>Coaches</t>
  </si>
  <si>
    <t>Feedback Received</t>
  </si>
  <si>
    <t>Number received</t>
  </si>
  <si>
    <t>Teacher Received</t>
  </si>
  <si>
    <t>Ages</t>
  </si>
  <si>
    <t>Very Much Enjoy</t>
  </si>
  <si>
    <t>Quite Enjoyed</t>
  </si>
  <si>
    <t>Somewhat Enjoyed</t>
  </si>
  <si>
    <t>Did not Enjoy</t>
  </si>
  <si>
    <t>None</t>
  </si>
  <si>
    <t>Check</t>
  </si>
  <si>
    <t>1st &amp; 2nd world Countries</t>
  </si>
  <si>
    <t>3rd World Countries</t>
  </si>
  <si>
    <t>Ireland</t>
  </si>
  <si>
    <t>Northern Ireland</t>
  </si>
  <si>
    <t>Cyprus</t>
  </si>
  <si>
    <t>Poland</t>
  </si>
  <si>
    <t>Scotland</t>
  </si>
  <si>
    <t>Bosnia Her</t>
  </si>
  <si>
    <t>Iceland</t>
  </si>
  <si>
    <t>Lithuania</t>
  </si>
  <si>
    <t>Hungary</t>
  </si>
  <si>
    <t>Germany</t>
  </si>
  <si>
    <t>Georgia</t>
  </si>
  <si>
    <t>England</t>
  </si>
  <si>
    <t>Bulgaria</t>
  </si>
  <si>
    <t>Belgium</t>
  </si>
  <si>
    <t>Italy</t>
  </si>
  <si>
    <t>Serbia</t>
  </si>
  <si>
    <t>Latvia</t>
  </si>
  <si>
    <t>Macedonia</t>
  </si>
  <si>
    <t>Romania</t>
  </si>
  <si>
    <t>Ukraine</t>
  </si>
  <si>
    <t>Greece</t>
  </si>
  <si>
    <t>Netherlands</t>
  </si>
  <si>
    <t>Spain</t>
  </si>
  <si>
    <t>Slovakia</t>
  </si>
  <si>
    <t>France</t>
  </si>
  <si>
    <t>Portugal</t>
  </si>
  <si>
    <t>Wales</t>
  </si>
  <si>
    <t>Finland</t>
  </si>
  <si>
    <t>Belarus</t>
  </si>
  <si>
    <t>Denmark</t>
  </si>
  <si>
    <t>Malta</t>
  </si>
  <si>
    <t>Maldova</t>
  </si>
  <si>
    <t>Sweden</t>
  </si>
  <si>
    <t>Estonia</t>
  </si>
  <si>
    <t>Armenia</t>
  </si>
  <si>
    <t>Albania</t>
  </si>
  <si>
    <t>Czech Republic</t>
  </si>
  <si>
    <t>Croatia</t>
  </si>
  <si>
    <t>Switzerland</t>
  </si>
  <si>
    <t>Norway</t>
  </si>
  <si>
    <t>Slovenia</t>
  </si>
  <si>
    <t>Kosovo</t>
  </si>
  <si>
    <t>Botswana</t>
  </si>
  <si>
    <t>Ethiopia</t>
  </si>
  <si>
    <t>DRC</t>
  </si>
  <si>
    <t>Ghana</t>
  </si>
  <si>
    <t>Senegal</t>
  </si>
  <si>
    <t>Cameroon</t>
  </si>
  <si>
    <t>Nigeria</t>
  </si>
  <si>
    <t>Congo</t>
  </si>
  <si>
    <t>Somalia</t>
  </si>
  <si>
    <t>Eritrea</t>
  </si>
  <si>
    <t>Syria</t>
  </si>
  <si>
    <t>South Africa</t>
  </si>
  <si>
    <t>Zimbabwe</t>
  </si>
  <si>
    <t>Mozambique</t>
  </si>
  <si>
    <t>Mauritius</t>
  </si>
  <si>
    <t>Mongolia</t>
  </si>
  <si>
    <t>Bolivia</t>
  </si>
  <si>
    <t>Palestine</t>
  </si>
  <si>
    <t>Marocco</t>
  </si>
  <si>
    <t>Sudan</t>
  </si>
  <si>
    <t>Angola</t>
  </si>
  <si>
    <t>Zambia</t>
  </si>
  <si>
    <t>Egypt</t>
  </si>
  <si>
    <t>Algeria</t>
  </si>
  <si>
    <t>Libya</t>
  </si>
  <si>
    <t>East Africa</t>
  </si>
  <si>
    <t>Iran</t>
  </si>
  <si>
    <t>Dubai(UAE)</t>
  </si>
  <si>
    <t>Iraq</t>
  </si>
  <si>
    <t>Saudi Arabia</t>
  </si>
  <si>
    <t>Turkey</t>
  </si>
  <si>
    <t>Liberia</t>
  </si>
  <si>
    <t>Lebanon</t>
  </si>
  <si>
    <t>Guinea</t>
  </si>
  <si>
    <t>Lesotho</t>
  </si>
  <si>
    <t>Malawi</t>
  </si>
  <si>
    <t>Kenya</t>
  </si>
  <si>
    <t>Mali</t>
  </si>
  <si>
    <t>Trinidad &amp; Tobago</t>
  </si>
  <si>
    <t>Benin</t>
  </si>
  <si>
    <t>Ivory Coast</t>
  </si>
  <si>
    <t>Tanzania</t>
  </si>
  <si>
    <t>Togo</t>
  </si>
  <si>
    <t>Tunisia</t>
  </si>
  <si>
    <t>Israel</t>
  </si>
  <si>
    <t>Omen</t>
  </si>
  <si>
    <t>Yemen</t>
  </si>
  <si>
    <t>Bahrain</t>
  </si>
  <si>
    <t>Jordan</t>
  </si>
  <si>
    <t>Kuwait</t>
  </si>
  <si>
    <t>Uganda</t>
  </si>
  <si>
    <t>Sierra Leone</t>
  </si>
  <si>
    <t>Ecuador</t>
  </si>
  <si>
    <t>Argentina</t>
  </si>
  <si>
    <t>Uruguay</t>
  </si>
  <si>
    <t>Paraguay</t>
  </si>
  <si>
    <t>Mexico</t>
  </si>
  <si>
    <t>Peru</t>
  </si>
  <si>
    <t>Brazil</t>
  </si>
  <si>
    <t>Columbia</t>
  </si>
  <si>
    <t>Chile</t>
  </si>
  <si>
    <t>USA</t>
  </si>
  <si>
    <t>Canada</t>
  </si>
  <si>
    <t>Jamaica</t>
  </si>
  <si>
    <t>Venezuela</t>
  </si>
  <si>
    <t>Costa Rica</t>
  </si>
  <si>
    <t>Hawai</t>
  </si>
  <si>
    <t>Guatamela</t>
  </si>
  <si>
    <t>Singapore</t>
  </si>
  <si>
    <t>Thailand</t>
  </si>
  <si>
    <t>Vietnam</t>
  </si>
  <si>
    <t>Cambodia</t>
  </si>
  <si>
    <t>Japan</t>
  </si>
  <si>
    <t>Phillipines</t>
  </si>
  <si>
    <t>China</t>
  </si>
  <si>
    <t>Taiwan</t>
  </si>
  <si>
    <t>South Korea</t>
  </si>
  <si>
    <t>India</t>
  </si>
  <si>
    <t>Afghanistan</t>
  </si>
  <si>
    <t>Pakistan</t>
  </si>
  <si>
    <t>Bangladesh</t>
  </si>
  <si>
    <t>Nepal</t>
  </si>
  <si>
    <t>Kazakhstan</t>
  </si>
  <si>
    <t>Qatar</t>
  </si>
  <si>
    <t>Indonasia</t>
  </si>
  <si>
    <t>Malaysia</t>
  </si>
  <si>
    <t>Sri Lanka</t>
  </si>
  <si>
    <t>Russia</t>
  </si>
  <si>
    <t>Kurdistan</t>
  </si>
  <si>
    <t>Australia</t>
  </si>
  <si>
    <t>New Zealand</t>
  </si>
  <si>
    <t>Swaziland</t>
  </si>
  <si>
    <t>Barbados</t>
  </si>
  <si>
    <t>Azerbaijan</t>
  </si>
  <si>
    <t>Myanmar</t>
  </si>
  <si>
    <t>Uzbekistan</t>
  </si>
  <si>
    <t>Male</t>
  </si>
  <si>
    <t>Female</t>
  </si>
  <si>
    <t>Other</t>
  </si>
  <si>
    <t>No Gender</t>
  </si>
  <si>
    <t xml:space="preserve">                     No Age</t>
  </si>
  <si>
    <t>18/+</t>
  </si>
  <si>
    <t>04.11.2024</t>
  </si>
  <si>
    <t>Tallaght CNS</t>
  </si>
  <si>
    <t>Kilclare Avenue, Jobstwon, Tallaght Dublin 24</t>
  </si>
  <si>
    <t>Kerrie, Melisa, Fayaaz</t>
  </si>
  <si>
    <t>India x2, Pakistan, Palestine x2, Syria, Algeria</t>
  </si>
  <si>
    <t>06.11.2024</t>
  </si>
  <si>
    <t>Avondale CC</t>
  </si>
  <si>
    <t>Rathdrum, Co. Wiclow</t>
  </si>
  <si>
    <t>Kerrie, Melisa, Fayaaz, Taha</t>
  </si>
  <si>
    <t>Ireland x76, England</t>
  </si>
  <si>
    <t>Philippines</t>
  </si>
  <si>
    <t>07.11.2024</t>
  </si>
  <si>
    <t>Mary Mother of Hope SNS</t>
  </si>
  <si>
    <t>Littleplace, Dublin 15</t>
  </si>
  <si>
    <t>Ireland x120, Romania x4, Moldova x3, Poland</t>
  </si>
  <si>
    <t>India x5, Nigeria, Bahrain</t>
  </si>
  <si>
    <t>08.11.2024</t>
  </si>
  <si>
    <t>Ireland x87, Moldova x2, Latvia, Romania x3</t>
  </si>
  <si>
    <t>India x2, Philippines, Libya</t>
  </si>
  <si>
    <t>11.11.2024</t>
  </si>
  <si>
    <t>St Declan's NS</t>
  </si>
  <si>
    <t>Ashbourne, Co.Meath</t>
  </si>
  <si>
    <t>Ireland x74, Italy, France, Moldova x2, Poland x2, Lithuania, Australia x2</t>
  </si>
  <si>
    <t>India x2, Egypt</t>
  </si>
  <si>
    <t>12.11.2024</t>
  </si>
  <si>
    <t>Ireland x61, Romania x3, Italy x2, Lithuania, Moldova</t>
  </si>
  <si>
    <t>Nigeria x2, India</t>
  </si>
  <si>
    <t>13.11.2024</t>
  </si>
  <si>
    <t>Ireland x65, Spain, Poland</t>
  </si>
  <si>
    <t>…</t>
  </si>
  <si>
    <t>14.11.2024</t>
  </si>
  <si>
    <t>Gardiner Street Primary School</t>
  </si>
  <si>
    <t>Gardiner street, Dublin 1</t>
  </si>
  <si>
    <t>15.11.2024</t>
  </si>
  <si>
    <t>Beneavin College</t>
  </si>
  <si>
    <t>Beneavin Road, Dublin 11</t>
  </si>
  <si>
    <t>Ireland x91, England, Romania, France, Lithuania x2, Croatia x2</t>
  </si>
  <si>
    <t>India x2, Libya, Philippines, Nigeria</t>
  </si>
  <si>
    <t>18.11.2024</t>
  </si>
  <si>
    <t>Mahahide Portmarnock ETNS</t>
  </si>
  <si>
    <t>Malahide Road, Kinsealy, Dublin 17</t>
  </si>
  <si>
    <t>Ireland x27, Moldova x2, Poland, Romania, Albania x2, Turkey x3, France, Australia, Canada x2, Russia x2, South Africa x2, UAE, USA</t>
  </si>
  <si>
    <t>China, India x2</t>
  </si>
  <si>
    <t>19.11.2024</t>
  </si>
  <si>
    <t>Ireland x28, Poland x2, England, Turkey x2, South Africa x2, Israel x3, USA, Australia</t>
  </si>
  <si>
    <t xml:space="preserve">India x2, Pakistan </t>
  </si>
  <si>
    <t>20.11.2024</t>
  </si>
  <si>
    <t>Scoil Treasa Naofa</t>
  </si>
  <si>
    <t>Petrie Riad, Donavore Avenue, Dublin 8</t>
  </si>
  <si>
    <t>Ireland x31, France, Ukraine, Englnd x2, Wales, Japan</t>
  </si>
  <si>
    <t>Sudan, Somalia, Ethiopia, India, Kenya, Pakstan, Oman</t>
  </si>
  <si>
    <t>21.11.2024</t>
  </si>
  <si>
    <t>Loreto Senoir primary school</t>
  </si>
  <si>
    <t>Crumlin Road, Dublin 12</t>
  </si>
  <si>
    <t>22.11.2024</t>
  </si>
  <si>
    <t>Ireland x27, Italy, Netherlands, Poland</t>
  </si>
  <si>
    <t>India x3, Somalia, Pakistan</t>
  </si>
  <si>
    <t>26.11.2024</t>
  </si>
  <si>
    <t>St Patrick's College</t>
  </si>
  <si>
    <t>Cullies, Cavan</t>
  </si>
  <si>
    <t>Ireland x62, Italy, Ukraine, England, Poland</t>
  </si>
  <si>
    <t>Brazil, India x3</t>
  </si>
  <si>
    <t>27.11.2024</t>
  </si>
  <si>
    <t>29.11.2024</t>
  </si>
  <si>
    <t>Corpus christi GNS</t>
  </si>
  <si>
    <t>Home Farm Road Drumcondra Dublin 9</t>
  </si>
  <si>
    <t>Ireland x90, France, Bulgaria, Finland, England</t>
  </si>
  <si>
    <t>Nepal, China, India</t>
  </si>
  <si>
    <t>03.12.2024</t>
  </si>
  <si>
    <t>Scoil Na Mainistreach</t>
  </si>
  <si>
    <t>Old Town Road celbridge Co. Kildare</t>
  </si>
  <si>
    <t>Kerrie, Melissa, Fayaaz</t>
  </si>
  <si>
    <t xml:space="preserve">Ireland x83, Lithuaniax2, Moldova x3, Hungary, Belgium x2, Hawai, Scotland, Italy, Egypt x3, Switzerland, Philippines, Greece, Romania, Oman </t>
  </si>
  <si>
    <t>05.12.2024</t>
  </si>
  <si>
    <t>Clonturk CC</t>
  </si>
  <si>
    <t>Clonturk Community College, Swords Rd, Whitehall Dublin 9</t>
  </si>
  <si>
    <t>Ireland x67, Russia, Moldova, England, Italy, USA</t>
  </si>
  <si>
    <t>16.12.24</t>
  </si>
  <si>
    <t xml:space="preserve">St Patricks GNS </t>
  </si>
  <si>
    <t>Gardiners Hill, Cork City</t>
  </si>
  <si>
    <t>Kerrie, Fayaaz, Zinedin</t>
  </si>
  <si>
    <t>Ireland x51, France, Ukraine x4,</t>
  </si>
  <si>
    <t xml:space="preserve">India x2, Pakistan, Thailand, Syria, Somalia, Congo, </t>
  </si>
  <si>
    <t>17.12.24</t>
  </si>
  <si>
    <t>Fingal CC</t>
  </si>
  <si>
    <t xml:space="preserve">Ireland x94, France, Poland x3, Romania x2, England x2, Italy, </t>
  </si>
  <si>
    <t>Pakistan, India x3, Bangladesh</t>
  </si>
  <si>
    <t>1 &amp; 2nd World Countries:</t>
  </si>
  <si>
    <t>3rd world Countries:</t>
  </si>
  <si>
    <t>Moldova</t>
  </si>
  <si>
    <t>Morocco</t>
  </si>
  <si>
    <t>Burundi</t>
  </si>
  <si>
    <t>Duabi(UAE)</t>
  </si>
  <si>
    <t>Indonesia</t>
  </si>
  <si>
    <t>Poland, England x4</t>
  </si>
  <si>
    <t>South Africa x2, Pakistan, Nigeria, Brazil</t>
  </si>
  <si>
    <t>England x8, Germany, Sweden, Lithuania, USA, South Africa</t>
  </si>
  <si>
    <t>India x3, Egypt, Philippines, Nigeria</t>
  </si>
  <si>
    <t>Romania x10, Crotia, Bosnia &amp; Her, Poland x4, England x3, Germany, Scotland, Spain, Moldova, Russia</t>
  </si>
  <si>
    <t>India x7, Nigeria x5, Brazil, Benin, China, Pakistan x2, Burundi, Libya, Sudan, Egypt</t>
  </si>
  <si>
    <t>Czech Republic, Romania x6, England x2, Lithuania x3, Italy, Poland x4, Wales x2, Moldova x2, Albania, Ukraine, South Africa</t>
  </si>
  <si>
    <t>Nigeria x3, Sudan x4, Pakistan, Algeria, Brazil, India x3, Syria, DRC</t>
  </si>
  <si>
    <t>England x4, Lithuania x4, Greece, Ukraine, Moldova, Scotland, Germany, Ireland x3, Spain, Poland x6, Netherlands, South Africa x3, Australia</t>
  </si>
  <si>
    <t>Mauritius, Nigeria, Zimbabwe</t>
  </si>
  <si>
    <t>Poland x7, Wales, Italy, Latvia x2, Moldova x2, USA x2, Australia</t>
  </si>
  <si>
    <t>Nigeria x2</t>
  </si>
  <si>
    <t>England x2, Scotland x3, Italy x2, Sweden, Poland, Ukraine, Gemany, South Africa</t>
  </si>
  <si>
    <t>Lesotho, Philippines, India</t>
  </si>
  <si>
    <t>Romania x9, Poland</t>
  </si>
  <si>
    <t>Mauritius, Nigeria x2, Nepal</t>
  </si>
  <si>
    <t>Scotland x2, England x4, Polandx7, Slovakia, Serbia x2, Netherlands, South Africa</t>
  </si>
  <si>
    <t>Philippines, Thailand, Nigeria x5, Pakistan</t>
  </si>
  <si>
    <t>Albania, England x4, Spain, Sweden x2, Francex3, Scotland, USA x2, South Africa, Singapore</t>
  </si>
  <si>
    <t>China, Nigeria, New Guinea, Philippines, Mexico</t>
  </si>
  <si>
    <t>Moldova, Slovakia x2, Ireland, Poland x3, spain x3, Northern Ireland, England x3, France, Albania x2, Italy, Sweden, Scotland, Australia, USA</t>
  </si>
  <si>
    <t>Philippines, China</t>
  </si>
  <si>
    <t>Ireland, Poland x2, Spain, england x2, Ukraine, Sweden, Lithuania, Turkey</t>
  </si>
  <si>
    <t>Morocco x4, Palestine, Egypt, India, Algeria x4, Kurdistan, Somalia x2, Nigeria, Libya</t>
  </si>
  <si>
    <t>Poland x7, Italy, Romania x4, England, Czech Republic, South Africa</t>
  </si>
  <si>
    <t>Pakistan x2, Nigeria x4, Congo, Somalia, Mauritius, China</t>
  </si>
  <si>
    <t>Lithuania, Poland x3, Latvia, Hungary, Moldova, Romania</t>
  </si>
  <si>
    <t>Algeria x2, Bangladesh, Morocco, Congo, Somalia</t>
  </si>
  <si>
    <t>Lithuania x4, Poland x6, England x4, Latvia</t>
  </si>
  <si>
    <t>Nigeria, Philippines, India x3, Brazil, Pakistan x3</t>
  </si>
  <si>
    <t>England x3, Poland, Northern Ireland, Scotland, Latvia x2, Slovakia, Ireland, USA x2, Russia, South Africa x3, Canada</t>
  </si>
  <si>
    <t>Sudan x4, India x2, Morocco</t>
  </si>
  <si>
    <t>England x6, France x2, Scotland x3, Netherlands, South Africa, Italy, USA, Wales, Estonia, Poland x2, Romania x2, Northern Ireland x2</t>
  </si>
  <si>
    <t xml:space="preserve"> India x6, Nigeria x2, Tunisia</t>
  </si>
  <si>
    <t>03.12.2023</t>
  </si>
  <si>
    <t>England x2, Poland x3, Philippines x2, Israel x2, Canada, Spain, Mauritius x2, Latvia, Italy, Ireland x2, Iraq x2, Romania x2, Lithuania x2, Portugal, India x2, France, Northern Ireland, Moldova x2</t>
  </si>
  <si>
    <t>Nigeria x2, Congo x2</t>
  </si>
  <si>
    <t>Australia, France x2, Spain x3, Romania, England x5, Poland x4, Brazil, Lithuania, Germany, Moldova, Ireland, Libya, New Zealand, Egypt</t>
  </si>
  <si>
    <t>China x2</t>
  </si>
  <si>
    <t xml:space="preserve">Belgium, Ireland x2, England x8, Georgia, Italy, </t>
  </si>
  <si>
    <t>Somalia x3, Egypt, Congo, India, Nigeria, Scotland</t>
  </si>
  <si>
    <t>Latvia x4, England x5, Germany, Poland x9, Nothern Ireland, Romania x3, Bulgaria, Moldova, Lithuania, Italy, russia, Netherlands, Hunagry</t>
  </si>
  <si>
    <t>Thailand, Nigeria x6, Tunisia, Morocco, Philippines x2, China x2, Bangladesh, Algeria, Tanzania, Canada</t>
  </si>
  <si>
    <t>General Notes</t>
  </si>
  <si>
    <t>No of Teacher</t>
  </si>
  <si>
    <t>No of SNA</t>
  </si>
  <si>
    <t>Students Notes</t>
  </si>
  <si>
    <t>Discrimination Game</t>
  </si>
  <si>
    <t>Language Barrier</t>
  </si>
  <si>
    <t>Work Exp: 1</t>
  </si>
  <si>
    <t>1 boy with Autism</t>
  </si>
  <si>
    <t>1 boy with Knee brace</t>
  </si>
  <si>
    <t>2 boys sat out</t>
  </si>
  <si>
    <t xml:space="preserve">11 boys joined the last session as they left fot football at 11am </t>
  </si>
  <si>
    <t>The word rape was being used this year &amp; rumours of explicit language around ths word, These came from tiktok</t>
  </si>
  <si>
    <t xml:space="preserve">1 Boy sat out </t>
  </si>
  <si>
    <t>1 replacement student from Spain</t>
  </si>
  <si>
    <t>Had 6 teachers, as they had to attend other classes</t>
  </si>
  <si>
    <t>1 whole team did not listen to kKerrie and passed to their captain, as they knew it was discrimination.</t>
  </si>
  <si>
    <t>Scoil NA Mainistreach</t>
  </si>
  <si>
    <t>Old Town Road co. Kildare</t>
  </si>
  <si>
    <t>St Patricks GNS</t>
  </si>
  <si>
    <t>...</t>
  </si>
  <si>
    <t>Seatown Road, Townparks, Swords, Co. Dublin</t>
  </si>
  <si>
    <t>SNA American</t>
  </si>
  <si>
    <t>Yes</t>
  </si>
  <si>
    <t>Ireland x17, Ukraine x7, Romania, USA, Poland</t>
  </si>
  <si>
    <t>1.a &amp; 1.b</t>
  </si>
  <si>
    <t>16.12.2024</t>
  </si>
  <si>
    <t>17.12.2024</t>
  </si>
  <si>
    <t>St Finians CC</t>
  </si>
  <si>
    <t>Jugback Lane, Swords, Co.Dublin</t>
  </si>
  <si>
    <t>Ireland x44, Romania, Israel, Malaysia</t>
  </si>
  <si>
    <t>09.12.2024</t>
  </si>
  <si>
    <t>St Finians</t>
  </si>
  <si>
    <t>Jugback Lane, Swords, Co. Dublin</t>
  </si>
  <si>
    <t>Poland x3, England x4, Lithuania, Latvia x2, Chile, Romania, Germany, France, Ukraine</t>
  </si>
  <si>
    <t xml:space="preserve">Nigeria X2, Tunisia, India, Costa Rica, Argentina, Philippines </t>
  </si>
  <si>
    <t>Jugback Lane, Swords, Co. Dulin</t>
  </si>
  <si>
    <t>10.12.2024</t>
  </si>
  <si>
    <t>Kerrie, Alannah, Fayaaz, Zinedin</t>
  </si>
  <si>
    <t xml:space="preserve">Ireland x51, Malta, Romania, Philippines, </t>
  </si>
  <si>
    <t>India, South Africa</t>
  </si>
  <si>
    <t>Poland x4, Emgland x3, Canada, Lithuania, Latvia, Romania</t>
  </si>
  <si>
    <t>Philippines, India, South Africa</t>
  </si>
  <si>
    <t>Namibia</t>
  </si>
  <si>
    <t>3.a, 3.b &amp; 3.c</t>
  </si>
  <si>
    <t>5.a, 5.b, 5.c &amp; 5.d</t>
  </si>
  <si>
    <t>6.a, 6.b &amp; 6.c</t>
  </si>
  <si>
    <t>17.a &amp; 17.b</t>
  </si>
  <si>
    <t>18.a &amp; 18.b</t>
  </si>
  <si>
    <t>Kerrie, Fayaaz, Alannah, Zinedin</t>
  </si>
  <si>
    <t>16.a, 16.b &amp;16.c</t>
  </si>
  <si>
    <t>15.a &amp;15.b</t>
  </si>
  <si>
    <t>19.a,19.b &amp; 19.c</t>
  </si>
  <si>
    <t>24.a, 24.b, 24.c, 24.d, 24.e &amp; 24.f</t>
  </si>
  <si>
    <t>12.12.2024</t>
  </si>
  <si>
    <t xml:space="preserve">Ireland x8, Romania, New Zealand, Ethiopia x3, Ukraine, Saudi Arabia, </t>
  </si>
  <si>
    <t>12.02.2024</t>
  </si>
  <si>
    <t>Romania x3, England x4, Poland x4, Ireland x4, New Zealand, Spain x2, Bosnia, Germany x2, Scotland, Wales, Lithuania, Gerogia, Estonia, Denmark, Slovakia</t>
  </si>
  <si>
    <t>India, South africa, Mexico</t>
  </si>
  <si>
    <t>22.a &amp; 22.b</t>
  </si>
  <si>
    <t>Ireland x7, Romania x4, Spain, Moldova x2, Ukraine x2, Italy x2, Brazil x4, Mauritius</t>
  </si>
  <si>
    <t>China, Somalia, Nigeria x2, Nepal</t>
  </si>
  <si>
    <t>Ireland x64, Hungary, Saudi Arabia, England x2, Poland, Brazil, Ukraine x2</t>
  </si>
  <si>
    <t>Afghanistan, India x2</t>
  </si>
  <si>
    <t>Malahide Portmarnock ETNS</t>
  </si>
  <si>
    <t>Mahalide Portmarnock ETNS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</si>
</sst>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1"/>
      <name val="Calibri (Body)_x0000_"/>
    </font>
    <font>
      <sz val="12"/>
      <color rgb="FF002060"/>
      <name val="Calibri"/>
      <family val="2"/>
      <scheme val="minor"/>
    </font>
    <font>
      <sz val="12"/>
      <color rgb="FF002060"/>
      <name val="Calibri (Body)_x0000_"/>
    </font>
    <font>
      <sz val="12"/>
      <color rgb="FFFF0000"/>
      <name val="Calibri (Body)_x0000_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/>
    <xf numFmtId="0" fontId="1" fillId="0" borderId="0" xfId="0" applyFont="1" applyProtection="1">
      <protection locked="0"/>
    </xf>
    <xf numFmtId="17" fontId="1" fillId="0" borderId="0" xfId="0" applyNumberFormat="1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0" fontId="1" fillId="0" borderId="0" xfId="0" applyFont="1"/>
    <xf numFmtId="0" fontId="2" fillId="2" borderId="0" xfId="0" applyFont="1" applyFill="1" applyProtection="1">
      <protection locked="0"/>
    </xf>
    <xf numFmtId="0" fontId="2" fillId="2" borderId="0" xfId="0" applyFont="1" applyFill="1"/>
    <xf numFmtId="17" fontId="1" fillId="0" borderId="0" xfId="0" applyNumberFormat="1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0" fillId="0" borderId="1" xfId="0" applyBorder="1"/>
    <xf numFmtId="0" fontId="7" fillId="0" borderId="0" xfId="0" applyFont="1"/>
    <xf numFmtId="17" fontId="0" fillId="0" borderId="0" xfId="0" applyNumberFormat="1" applyAlignment="1">
      <alignment horizontal="left"/>
    </xf>
    <xf numFmtId="17" fontId="8" fillId="0" borderId="0" xfId="0" applyNumberFormat="1" applyFont="1" applyAlignment="1">
      <alignment horizontal="left"/>
    </xf>
    <xf numFmtId="0" fontId="0" fillId="3" borderId="0" xfId="0" applyFill="1"/>
    <xf numFmtId="0" fontId="1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E59F-30D4-4C4D-9DF5-D4DEF003D6AD}">
  <dimension ref="A1:GK39"/>
  <sheetViews>
    <sheetView tabSelected="1" topLeftCell="AP1" zoomScale="75" workbookViewId="0">
      <selection activeCell="AA35" sqref="AA35"/>
    </sheetView>
  </sheetViews>
  <sheetFormatPr baseColWidth="10" defaultColWidth="11" defaultRowHeight="16"/>
  <cols>
    <col min="1" max="1" width="14.5" customWidth="1"/>
    <col min="2" max="2" width="15.1640625" customWidth="1"/>
    <col min="3" max="3" width="31.5" customWidth="1"/>
    <col min="4" max="4" width="40.33203125" customWidth="1"/>
    <col min="5" max="5" width="13.6640625" customWidth="1"/>
    <col min="6" max="6" width="9.33203125" customWidth="1"/>
    <col min="7" max="7" width="8.83203125" customWidth="1"/>
    <col min="8" max="8" width="9.5" customWidth="1"/>
    <col min="9" max="9" width="7.83203125" customWidth="1"/>
    <col min="10" max="10" width="4.5" customWidth="1"/>
    <col min="11" max="11" width="17.1640625" customWidth="1"/>
    <col min="12" max="12" width="14.1640625" customWidth="1"/>
    <col min="13" max="13" width="3.6640625" customWidth="1"/>
    <col min="18" max="18" width="31.83203125" customWidth="1"/>
    <col min="19" max="19" width="16.83203125" customWidth="1"/>
    <col min="20" max="20" width="15.33203125" customWidth="1"/>
    <col min="21" max="21" width="15.6640625" customWidth="1"/>
    <col min="22" max="22" width="4.5" customWidth="1"/>
    <col min="28" max="28" width="4.83203125" customWidth="1"/>
    <col min="29" max="29" width="8.1640625" customWidth="1"/>
    <col min="43" max="43" width="15.5" customWidth="1"/>
    <col min="44" max="44" width="12.6640625" customWidth="1"/>
    <col min="45" max="45" width="17" customWidth="1"/>
    <col min="46" max="46" width="13" customWidth="1"/>
    <col min="50" max="50" width="74.5" customWidth="1"/>
    <col min="51" max="51" width="80.1640625" customWidth="1"/>
    <col min="54" max="54" width="15.5" customWidth="1"/>
    <col min="89" max="89" width="13.83203125" customWidth="1"/>
    <col min="106" max="106" width="11.6640625" customWidth="1"/>
    <col min="125" max="125" width="15" customWidth="1"/>
    <col min="134" max="134" width="16" customWidth="1"/>
    <col min="186" max="186" width="12.1640625" customWidth="1"/>
    <col min="193" max="193" width="22.33203125" customWidth="1"/>
  </cols>
  <sheetData>
    <row r="1" spans="1:191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 t="s">
        <v>11</v>
      </c>
      <c r="O1" s="1"/>
      <c r="P1" s="2"/>
      <c r="Q1" s="1"/>
      <c r="R1" s="1" t="s">
        <v>12</v>
      </c>
      <c r="S1" s="3" t="s">
        <v>13</v>
      </c>
      <c r="T1" s="1" t="s">
        <v>14</v>
      </c>
      <c r="U1" s="1" t="s">
        <v>15</v>
      </c>
      <c r="V1" s="1"/>
      <c r="X1" s="1"/>
      <c r="Y1" s="1"/>
      <c r="Z1" s="1"/>
      <c r="AA1" s="1"/>
      <c r="AB1" s="1"/>
      <c r="AC1" s="1"/>
      <c r="AD1" s="1"/>
      <c r="AE1" s="1"/>
      <c r="AF1" s="1" t="s">
        <v>16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17</v>
      </c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2"/>
      <c r="AX1" s="1" t="s">
        <v>23</v>
      </c>
      <c r="AY1" s="1" t="s">
        <v>24</v>
      </c>
      <c r="AZ1" s="1"/>
      <c r="BA1" s="1" t="s">
        <v>25</v>
      </c>
      <c r="BB1" s="1" t="s">
        <v>26</v>
      </c>
      <c r="BC1" s="1" t="s">
        <v>27</v>
      </c>
      <c r="BD1" s="1" t="s">
        <v>28</v>
      </c>
      <c r="BE1" s="1" t="s">
        <v>29</v>
      </c>
      <c r="BF1" s="1" t="s">
        <v>30</v>
      </c>
      <c r="BG1" s="1" t="s">
        <v>31</v>
      </c>
      <c r="BH1" s="1" t="s">
        <v>32</v>
      </c>
      <c r="BI1" s="1" t="s">
        <v>33</v>
      </c>
      <c r="BJ1" s="1" t="s">
        <v>34</v>
      </c>
      <c r="BK1" s="1" t="s">
        <v>35</v>
      </c>
      <c r="BL1" s="1" t="s">
        <v>36</v>
      </c>
      <c r="BM1" s="1" t="s">
        <v>37</v>
      </c>
      <c r="BN1" s="1" t="s">
        <v>38</v>
      </c>
      <c r="BO1" s="1" t="s">
        <v>39</v>
      </c>
      <c r="BP1" s="1" t="s">
        <v>40</v>
      </c>
      <c r="BQ1" s="1" t="s">
        <v>41</v>
      </c>
      <c r="BR1" s="1" t="s">
        <v>42</v>
      </c>
      <c r="BS1" s="1" t="s">
        <v>43</v>
      </c>
      <c r="BT1" s="1" t="s">
        <v>44</v>
      </c>
      <c r="BU1" s="1" t="s">
        <v>45</v>
      </c>
      <c r="BV1" s="1" t="s">
        <v>46</v>
      </c>
      <c r="BW1" s="1" t="s">
        <v>47</v>
      </c>
      <c r="BX1" s="1" t="s">
        <v>48</v>
      </c>
      <c r="BY1" s="1" t="s">
        <v>49</v>
      </c>
      <c r="BZ1" s="1" t="s">
        <v>50</v>
      </c>
      <c r="CA1" s="1" t="s">
        <v>51</v>
      </c>
      <c r="CB1" s="1" t="s">
        <v>52</v>
      </c>
      <c r="CC1" s="1" t="s">
        <v>53</v>
      </c>
      <c r="CD1" s="1" t="s">
        <v>54</v>
      </c>
      <c r="CE1" s="1" t="s">
        <v>55</v>
      </c>
      <c r="CF1" s="1" t="s">
        <v>56</v>
      </c>
      <c r="CG1" s="1" t="s">
        <v>57</v>
      </c>
      <c r="CH1" s="5" t="s">
        <v>58</v>
      </c>
      <c r="CI1" s="5" t="s">
        <v>59</v>
      </c>
      <c r="CJ1" s="1" t="s">
        <v>60</v>
      </c>
      <c r="CK1" s="1" t="s">
        <v>61</v>
      </c>
      <c r="CL1" s="1" t="s">
        <v>62</v>
      </c>
      <c r="CM1" s="1" t="s">
        <v>63</v>
      </c>
      <c r="CN1" s="1" t="s">
        <v>64</v>
      </c>
      <c r="CO1" s="1" t="s">
        <v>65</v>
      </c>
      <c r="CP1" s="1" t="s">
        <v>66</v>
      </c>
      <c r="CQ1" s="1" t="s">
        <v>67</v>
      </c>
      <c r="CR1" s="1" t="s">
        <v>68</v>
      </c>
      <c r="CS1" s="1" t="s">
        <v>69</v>
      </c>
      <c r="CT1" s="1" t="s">
        <v>70</v>
      </c>
      <c r="CU1" s="1" t="s">
        <v>71</v>
      </c>
      <c r="CV1" s="1" t="s">
        <v>72</v>
      </c>
      <c r="CW1" s="1" t="s">
        <v>73</v>
      </c>
      <c r="CX1" s="1" t="s">
        <v>74</v>
      </c>
      <c r="CY1" s="1" t="s">
        <v>75</v>
      </c>
      <c r="CZ1" s="1" t="s">
        <v>76</v>
      </c>
      <c r="DA1" s="1" t="s">
        <v>77</v>
      </c>
      <c r="DB1" s="14" t="s">
        <v>78</v>
      </c>
      <c r="DC1" s="1" t="s">
        <v>79</v>
      </c>
      <c r="DD1" s="1" t="s">
        <v>80</v>
      </c>
      <c r="DE1" s="1" t="s">
        <v>81</v>
      </c>
      <c r="DF1" s="1" t="s">
        <v>82</v>
      </c>
      <c r="DG1" s="1" t="s">
        <v>83</v>
      </c>
      <c r="DH1" s="1" t="s">
        <v>84</v>
      </c>
      <c r="DI1" s="1" t="s">
        <v>85</v>
      </c>
      <c r="DJ1" s="1" t="s">
        <v>348</v>
      </c>
      <c r="DK1" s="1" t="s">
        <v>86</v>
      </c>
      <c r="DL1" s="1" t="s">
        <v>87</v>
      </c>
      <c r="DM1" s="1" t="s">
        <v>88</v>
      </c>
      <c r="DN1" s="1" t="s">
        <v>89</v>
      </c>
      <c r="DO1" s="1" t="s">
        <v>90</v>
      </c>
      <c r="DP1" s="1" t="s">
        <v>91</v>
      </c>
      <c r="DQ1" s="1" t="s">
        <v>92</v>
      </c>
      <c r="DR1" s="1" t="s">
        <v>93</v>
      </c>
      <c r="DS1" s="14" t="s">
        <v>94</v>
      </c>
      <c r="DT1" s="1" t="s">
        <v>95</v>
      </c>
      <c r="DU1" s="14" t="s">
        <v>96</v>
      </c>
      <c r="DV1" s="14" t="s">
        <v>97</v>
      </c>
      <c r="DW1" s="1" t="s">
        <v>98</v>
      </c>
      <c r="DX1" s="1" t="s">
        <v>99</v>
      </c>
      <c r="DY1" s="1" t="s">
        <v>100</v>
      </c>
      <c r="DZ1" s="1" t="s">
        <v>101</v>
      </c>
      <c r="EA1" s="1" t="s">
        <v>102</v>
      </c>
      <c r="EB1" s="1" t="s">
        <v>103</v>
      </c>
      <c r="EC1" s="1" t="s">
        <v>104</v>
      </c>
      <c r="ED1" s="1" t="s">
        <v>105</v>
      </c>
      <c r="EE1" s="1" t="s">
        <v>106</v>
      </c>
      <c r="EF1" s="1" t="s">
        <v>107</v>
      </c>
      <c r="EG1" s="1" t="s">
        <v>108</v>
      </c>
      <c r="EH1" s="6" t="s">
        <v>109</v>
      </c>
      <c r="EI1" s="1" t="s">
        <v>110</v>
      </c>
      <c r="EJ1" s="14" t="s">
        <v>111</v>
      </c>
      <c r="EK1" s="1" t="s">
        <v>112</v>
      </c>
      <c r="EL1" s="1" t="s">
        <v>113</v>
      </c>
      <c r="EM1" s="1" t="s">
        <v>114</v>
      </c>
      <c r="EN1" s="1" t="s">
        <v>115</v>
      </c>
      <c r="EO1" s="1" t="s">
        <v>116</v>
      </c>
      <c r="EP1" s="1" t="s">
        <v>117</v>
      </c>
      <c r="EQ1" s="1" t="s">
        <v>118</v>
      </c>
      <c r="ER1" s="1" t="s">
        <v>119</v>
      </c>
      <c r="ES1" s="1" t="s">
        <v>120</v>
      </c>
      <c r="ET1" s="1" t="s">
        <v>121</v>
      </c>
      <c r="EU1" s="1" t="s">
        <v>122</v>
      </c>
      <c r="EV1" s="1" t="s">
        <v>123</v>
      </c>
      <c r="EW1" s="1" t="s">
        <v>124</v>
      </c>
      <c r="EX1" s="1" t="s">
        <v>125</v>
      </c>
      <c r="EY1" s="1" t="s">
        <v>126</v>
      </c>
      <c r="EZ1" s="1" t="s">
        <v>127</v>
      </c>
      <c r="FA1" s="14" t="s">
        <v>128</v>
      </c>
      <c r="FB1" s="14" t="s">
        <v>129</v>
      </c>
      <c r="FC1" s="1" t="s">
        <v>130</v>
      </c>
      <c r="FD1" s="14" t="s">
        <v>131</v>
      </c>
      <c r="FE1" s="1" t="s">
        <v>132</v>
      </c>
      <c r="FF1" s="1" t="s">
        <v>133</v>
      </c>
      <c r="FG1" s="1" t="s">
        <v>134</v>
      </c>
      <c r="FH1" s="1" t="s">
        <v>135</v>
      </c>
      <c r="FI1" s="1" t="s">
        <v>136</v>
      </c>
      <c r="FJ1" s="1" t="s">
        <v>137</v>
      </c>
      <c r="FK1" s="1" t="s">
        <v>138</v>
      </c>
      <c r="FL1" s="14" t="s">
        <v>139</v>
      </c>
      <c r="FM1" s="1" t="s">
        <v>140</v>
      </c>
      <c r="FN1" s="1" t="s">
        <v>141</v>
      </c>
      <c r="FO1" s="1" t="s">
        <v>142</v>
      </c>
      <c r="FP1" s="14" t="s">
        <v>143</v>
      </c>
      <c r="FQ1" s="1" t="s">
        <v>144</v>
      </c>
      <c r="FR1" s="1" t="s">
        <v>145</v>
      </c>
      <c r="FS1" s="1" t="s">
        <v>146</v>
      </c>
      <c r="FT1" s="1" t="s">
        <v>147</v>
      </c>
      <c r="FU1" s="1" t="s">
        <v>148</v>
      </c>
      <c r="FV1" s="1" t="s">
        <v>149</v>
      </c>
      <c r="FW1" s="14" t="s">
        <v>150</v>
      </c>
      <c r="FX1" s="1" t="s">
        <v>151</v>
      </c>
      <c r="FY1" s="1" t="s">
        <v>152</v>
      </c>
      <c r="FZ1" s="1" t="s">
        <v>153</v>
      </c>
      <c r="GA1" s="14" t="s">
        <v>154</v>
      </c>
      <c r="GB1" s="1" t="s">
        <v>155</v>
      </c>
      <c r="GC1" s="14" t="s">
        <v>156</v>
      </c>
      <c r="GD1" s="14" t="s">
        <v>157</v>
      </c>
      <c r="GE1" s="1" t="s">
        <v>158</v>
      </c>
      <c r="GF1" s="1" t="s">
        <v>159</v>
      </c>
      <c r="GG1" s="1" t="s">
        <v>160</v>
      </c>
      <c r="GH1" s="6" t="s">
        <v>161</v>
      </c>
      <c r="GI1" s="7" t="s">
        <v>162</v>
      </c>
    </row>
    <row r="3" spans="1:191" s="4" customFormat="1">
      <c r="B3" s="8">
        <v>45597</v>
      </c>
      <c r="N3" s="3" t="s">
        <v>163</v>
      </c>
      <c r="O3" s="3" t="s">
        <v>164</v>
      </c>
      <c r="P3" s="3" t="s">
        <v>165</v>
      </c>
      <c r="Q3" s="3" t="s">
        <v>22</v>
      </c>
      <c r="R3" s="9"/>
      <c r="W3" s="10" t="s">
        <v>163</v>
      </c>
      <c r="X3" s="10" t="s">
        <v>164</v>
      </c>
      <c r="Y3" s="10" t="s">
        <v>165</v>
      </c>
      <c r="Z3" s="10" t="s">
        <v>166</v>
      </c>
      <c r="AA3" s="10" t="s">
        <v>22</v>
      </c>
      <c r="AB3" s="7"/>
      <c r="AC3" s="12" t="s">
        <v>167</v>
      </c>
      <c r="AD3" s="11">
        <v>8</v>
      </c>
      <c r="AE3" s="3">
        <v>9</v>
      </c>
      <c r="AF3" s="3">
        <v>10</v>
      </c>
      <c r="AG3" s="3">
        <v>11</v>
      </c>
      <c r="AH3" s="3">
        <v>12</v>
      </c>
      <c r="AI3" s="3">
        <v>13</v>
      </c>
      <c r="AJ3" s="3">
        <v>14</v>
      </c>
      <c r="AK3" s="3">
        <v>15</v>
      </c>
      <c r="AL3" s="3">
        <v>16</v>
      </c>
      <c r="AM3" s="3">
        <v>17</v>
      </c>
      <c r="AN3" s="3" t="s">
        <v>168</v>
      </c>
      <c r="AO3" s="3" t="s">
        <v>22</v>
      </c>
    </row>
    <row r="5" spans="1:191">
      <c r="A5" s="29" t="s">
        <v>330</v>
      </c>
      <c r="B5" t="s">
        <v>169</v>
      </c>
      <c r="C5" t="s">
        <v>170</v>
      </c>
      <c r="D5" t="s">
        <v>171</v>
      </c>
      <c r="E5">
        <v>2</v>
      </c>
      <c r="F5">
        <v>2</v>
      </c>
      <c r="G5">
        <v>0</v>
      </c>
      <c r="H5">
        <v>0</v>
      </c>
      <c r="I5">
        <v>0</v>
      </c>
      <c r="K5">
        <v>2</v>
      </c>
      <c r="L5">
        <v>33</v>
      </c>
      <c r="N5">
        <v>18</v>
      </c>
      <c r="O5">
        <v>15</v>
      </c>
      <c r="P5">
        <v>0</v>
      </c>
      <c r="Q5">
        <f>SUM(N5:P5)</f>
        <v>33</v>
      </c>
      <c r="R5" t="s">
        <v>172</v>
      </c>
      <c r="S5" t="s">
        <v>328</v>
      </c>
      <c r="T5">
        <v>27</v>
      </c>
      <c r="U5">
        <v>2</v>
      </c>
      <c r="W5">
        <v>15</v>
      </c>
      <c r="X5">
        <v>12</v>
      </c>
      <c r="Y5">
        <v>0</v>
      </c>
      <c r="Z5">
        <v>0</v>
      </c>
      <c r="AA5">
        <v>27</v>
      </c>
      <c r="AC5">
        <v>1</v>
      </c>
      <c r="AF5">
        <v>8</v>
      </c>
      <c r="AG5">
        <v>15</v>
      </c>
      <c r="AH5">
        <v>3</v>
      </c>
      <c r="AO5">
        <v>27</v>
      </c>
      <c r="AQ5">
        <v>17</v>
      </c>
      <c r="AR5">
        <v>8</v>
      </c>
      <c r="AS5">
        <v>1</v>
      </c>
      <c r="AT5">
        <v>1</v>
      </c>
      <c r="AU5">
        <v>0</v>
      </c>
      <c r="AV5">
        <v>27</v>
      </c>
      <c r="AX5" t="s">
        <v>329</v>
      </c>
      <c r="AY5" t="s">
        <v>173</v>
      </c>
      <c r="BA5">
        <v>17</v>
      </c>
      <c r="BD5">
        <v>1</v>
      </c>
      <c r="BS5">
        <v>1</v>
      </c>
      <c r="BT5">
        <v>7</v>
      </c>
      <c r="DA5">
        <v>1</v>
      </c>
      <c r="DH5">
        <v>2</v>
      </c>
      <c r="DO5">
        <v>1</v>
      </c>
      <c r="FA5">
        <v>1</v>
      </c>
      <c r="FQ5">
        <v>2</v>
      </c>
      <c r="FS5">
        <v>1</v>
      </c>
    </row>
    <row r="6" spans="1:191">
      <c r="A6" s="18">
        <v>2</v>
      </c>
      <c r="B6" t="s">
        <v>174</v>
      </c>
      <c r="C6" t="s">
        <v>175</v>
      </c>
      <c r="D6" t="s">
        <v>176</v>
      </c>
      <c r="E6">
        <v>4</v>
      </c>
      <c r="F6">
        <v>4</v>
      </c>
      <c r="G6">
        <v>0</v>
      </c>
      <c r="H6">
        <v>0</v>
      </c>
      <c r="I6">
        <v>0</v>
      </c>
      <c r="K6">
        <v>4</v>
      </c>
      <c r="L6">
        <v>78</v>
      </c>
      <c r="N6">
        <v>44</v>
      </c>
      <c r="O6">
        <v>34</v>
      </c>
      <c r="P6">
        <v>0</v>
      </c>
      <c r="Q6">
        <f t="shared" ref="Q6:Q21" si="0">SUM(N6:P6)</f>
        <v>78</v>
      </c>
      <c r="R6" t="s">
        <v>177</v>
      </c>
      <c r="AX6" t="s">
        <v>178</v>
      </c>
      <c r="AY6" t="s">
        <v>179</v>
      </c>
      <c r="BA6">
        <v>76</v>
      </c>
      <c r="BL6">
        <v>1</v>
      </c>
      <c r="FM6">
        <v>1</v>
      </c>
    </row>
    <row r="7" spans="1:191">
      <c r="A7" s="29" t="s">
        <v>349</v>
      </c>
      <c r="B7" t="s">
        <v>180</v>
      </c>
      <c r="C7" t="s">
        <v>181</v>
      </c>
      <c r="D7" t="s">
        <v>182</v>
      </c>
      <c r="E7">
        <v>3</v>
      </c>
      <c r="F7">
        <v>3</v>
      </c>
      <c r="G7">
        <v>0</v>
      </c>
      <c r="H7">
        <v>0</v>
      </c>
      <c r="I7">
        <v>0</v>
      </c>
      <c r="K7">
        <v>3</v>
      </c>
      <c r="L7">
        <v>135</v>
      </c>
      <c r="N7">
        <v>81</v>
      </c>
      <c r="O7">
        <v>54</v>
      </c>
      <c r="P7">
        <v>0</v>
      </c>
      <c r="Q7">
        <f t="shared" si="0"/>
        <v>135</v>
      </c>
      <c r="R7" t="s">
        <v>172</v>
      </c>
      <c r="S7" t="s">
        <v>328</v>
      </c>
      <c r="T7">
        <v>86</v>
      </c>
      <c r="U7">
        <v>2</v>
      </c>
      <c r="W7">
        <v>52</v>
      </c>
      <c r="X7">
        <v>34</v>
      </c>
      <c r="AA7">
        <v>86</v>
      </c>
      <c r="AF7">
        <v>35</v>
      </c>
      <c r="AG7">
        <v>51</v>
      </c>
      <c r="AQ7">
        <v>43</v>
      </c>
      <c r="AR7">
        <v>29</v>
      </c>
      <c r="AS7">
        <v>10</v>
      </c>
      <c r="AU7">
        <v>2</v>
      </c>
      <c r="AX7" t="s">
        <v>183</v>
      </c>
      <c r="AY7" t="s">
        <v>184</v>
      </c>
      <c r="BA7">
        <v>120</v>
      </c>
      <c r="BD7">
        <v>1</v>
      </c>
      <c r="BS7">
        <v>4</v>
      </c>
      <c r="CF7">
        <v>3</v>
      </c>
      <c r="CW7">
        <v>1</v>
      </c>
      <c r="EM7">
        <v>1</v>
      </c>
      <c r="FQ7">
        <v>5</v>
      </c>
    </row>
    <row r="8" spans="1:191">
      <c r="A8" s="18">
        <v>4</v>
      </c>
      <c r="B8" t="s">
        <v>185</v>
      </c>
      <c r="C8" t="s">
        <v>181</v>
      </c>
      <c r="D8" t="s">
        <v>182</v>
      </c>
      <c r="E8">
        <v>3</v>
      </c>
      <c r="F8">
        <v>3</v>
      </c>
      <c r="G8">
        <v>0</v>
      </c>
      <c r="H8">
        <v>0</v>
      </c>
      <c r="I8">
        <v>0</v>
      </c>
      <c r="K8">
        <v>3</v>
      </c>
      <c r="L8">
        <v>100</v>
      </c>
      <c r="N8">
        <v>55</v>
      </c>
      <c r="O8">
        <v>45</v>
      </c>
      <c r="P8">
        <v>0</v>
      </c>
      <c r="Q8">
        <f t="shared" si="0"/>
        <v>100</v>
      </c>
      <c r="R8" t="s">
        <v>172</v>
      </c>
      <c r="AX8" t="s">
        <v>186</v>
      </c>
      <c r="AY8" t="s">
        <v>187</v>
      </c>
      <c r="BA8">
        <v>87</v>
      </c>
      <c r="BQ8">
        <v>1</v>
      </c>
      <c r="BS8">
        <v>3</v>
      </c>
      <c r="CF8">
        <v>2</v>
      </c>
      <c r="DP8">
        <v>1</v>
      </c>
      <c r="FM8">
        <v>1</v>
      </c>
      <c r="FQ8">
        <v>2</v>
      </c>
    </row>
    <row r="9" spans="1:191">
      <c r="A9" s="29" t="s">
        <v>350</v>
      </c>
      <c r="B9" t="s">
        <v>188</v>
      </c>
      <c r="C9" t="s">
        <v>189</v>
      </c>
      <c r="D9" s="17" t="s">
        <v>190</v>
      </c>
      <c r="E9">
        <v>3</v>
      </c>
      <c r="F9">
        <v>3</v>
      </c>
      <c r="G9">
        <v>0</v>
      </c>
      <c r="H9">
        <v>0</v>
      </c>
      <c r="I9">
        <v>0</v>
      </c>
      <c r="K9">
        <v>3</v>
      </c>
      <c r="L9">
        <v>86</v>
      </c>
      <c r="N9">
        <v>44</v>
      </c>
      <c r="O9">
        <v>42</v>
      </c>
      <c r="P9">
        <v>0</v>
      </c>
      <c r="Q9">
        <f t="shared" si="0"/>
        <v>86</v>
      </c>
      <c r="R9" t="s">
        <v>172</v>
      </c>
      <c r="S9" t="s">
        <v>328</v>
      </c>
      <c r="T9">
        <v>86</v>
      </c>
      <c r="U9">
        <v>2</v>
      </c>
      <c r="W9">
        <v>44</v>
      </c>
      <c r="X9">
        <v>40</v>
      </c>
      <c r="Z9">
        <v>2</v>
      </c>
      <c r="AA9">
        <v>86</v>
      </c>
      <c r="AF9">
        <v>23</v>
      </c>
      <c r="AG9">
        <v>42</v>
      </c>
      <c r="AH9">
        <v>28</v>
      </c>
      <c r="AO9">
        <v>93</v>
      </c>
      <c r="AQ9">
        <v>58</v>
      </c>
      <c r="AR9">
        <v>18</v>
      </c>
      <c r="AS9">
        <v>6</v>
      </c>
      <c r="AT9">
        <v>1</v>
      </c>
      <c r="AU9">
        <v>3</v>
      </c>
      <c r="AV9">
        <v>86</v>
      </c>
      <c r="AX9" t="s">
        <v>191</v>
      </c>
      <c r="AY9" t="s">
        <v>192</v>
      </c>
      <c r="BA9">
        <v>74</v>
      </c>
      <c r="BD9">
        <v>2</v>
      </c>
      <c r="BH9">
        <v>1</v>
      </c>
      <c r="BO9">
        <v>1</v>
      </c>
      <c r="BY9">
        <v>1</v>
      </c>
      <c r="CF9">
        <v>2</v>
      </c>
      <c r="DN9">
        <v>1</v>
      </c>
      <c r="FQ9">
        <v>2</v>
      </c>
      <c r="GC9">
        <v>2</v>
      </c>
    </row>
    <row r="10" spans="1:191">
      <c r="A10" s="29" t="s">
        <v>351</v>
      </c>
      <c r="B10" s="17" t="s">
        <v>193</v>
      </c>
      <c r="C10" s="17" t="s">
        <v>189</v>
      </c>
      <c r="D10" s="17" t="s">
        <v>190</v>
      </c>
      <c r="E10">
        <v>3</v>
      </c>
      <c r="F10">
        <v>3</v>
      </c>
      <c r="G10">
        <v>0</v>
      </c>
      <c r="H10">
        <v>0</v>
      </c>
      <c r="I10">
        <v>0</v>
      </c>
      <c r="K10">
        <v>3</v>
      </c>
      <c r="L10">
        <v>71</v>
      </c>
      <c r="N10">
        <v>38</v>
      </c>
      <c r="O10">
        <v>33</v>
      </c>
      <c r="P10">
        <v>0</v>
      </c>
      <c r="Q10">
        <f t="shared" si="0"/>
        <v>71</v>
      </c>
      <c r="R10" t="s">
        <v>172</v>
      </c>
      <c r="S10" t="s">
        <v>328</v>
      </c>
      <c r="T10">
        <v>65</v>
      </c>
      <c r="U10">
        <v>4</v>
      </c>
      <c r="W10">
        <v>32</v>
      </c>
      <c r="X10">
        <v>30</v>
      </c>
      <c r="Z10">
        <v>3</v>
      </c>
      <c r="AF10">
        <v>5</v>
      </c>
      <c r="AG10">
        <v>36</v>
      </c>
      <c r="AH10">
        <v>24</v>
      </c>
      <c r="AO10">
        <v>65</v>
      </c>
      <c r="AQ10">
        <v>35</v>
      </c>
      <c r="AR10">
        <v>26</v>
      </c>
      <c r="AS10">
        <v>3</v>
      </c>
      <c r="AU10">
        <v>1</v>
      </c>
      <c r="AV10">
        <v>65</v>
      </c>
      <c r="AX10" t="s">
        <v>194</v>
      </c>
      <c r="AY10" t="s">
        <v>195</v>
      </c>
      <c r="BA10">
        <v>61</v>
      </c>
      <c r="BH10">
        <v>1</v>
      </c>
      <c r="BO10">
        <v>1</v>
      </c>
      <c r="BS10">
        <v>3</v>
      </c>
      <c r="CF10">
        <v>1</v>
      </c>
      <c r="CW10">
        <v>2</v>
      </c>
      <c r="FQ10">
        <v>1</v>
      </c>
    </row>
    <row r="11" spans="1:191">
      <c r="A11" s="18">
        <v>7</v>
      </c>
      <c r="B11" t="s">
        <v>196</v>
      </c>
      <c r="C11" t="s">
        <v>175</v>
      </c>
      <c r="D11" t="s">
        <v>176</v>
      </c>
      <c r="E11">
        <v>3</v>
      </c>
      <c r="F11">
        <v>3</v>
      </c>
      <c r="G11">
        <v>0</v>
      </c>
      <c r="H11">
        <v>0</v>
      </c>
      <c r="I11">
        <v>0</v>
      </c>
      <c r="K11">
        <v>2</v>
      </c>
      <c r="L11">
        <v>67</v>
      </c>
      <c r="N11">
        <v>33</v>
      </c>
      <c r="O11">
        <v>34</v>
      </c>
      <c r="P11">
        <v>0</v>
      </c>
      <c r="Q11">
        <f t="shared" si="0"/>
        <v>67</v>
      </c>
      <c r="R11" t="s">
        <v>177</v>
      </c>
      <c r="AX11" t="s">
        <v>197</v>
      </c>
      <c r="AY11" t="s">
        <v>198</v>
      </c>
      <c r="BA11">
        <v>65</v>
      </c>
      <c r="BD11">
        <v>1</v>
      </c>
      <c r="BW11">
        <v>1</v>
      </c>
    </row>
    <row r="12" spans="1:191">
      <c r="A12" s="31">
        <v>8</v>
      </c>
      <c r="B12" s="23" t="s">
        <v>199</v>
      </c>
      <c r="C12" t="s">
        <v>200</v>
      </c>
      <c r="D12" t="s">
        <v>201</v>
      </c>
      <c r="E12">
        <v>2</v>
      </c>
      <c r="F12">
        <v>2</v>
      </c>
      <c r="G12">
        <v>0</v>
      </c>
      <c r="H12">
        <v>0</v>
      </c>
      <c r="I12">
        <v>0</v>
      </c>
      <c r="K12">
        <v>2</v>
      </c>
      <c r="L12">
        <v>37</v>
      </c>
      <c r="N12">
        <v>18</v>
      </c>
      <c r="O12">
        <v>19</v>
      </c>
      <c r="P12">
        <v>0</v>
      </c>
      <c r="Q12">
        <f t="shared" si="0"/>
        <v>37</v>
      </c>
      <c r="R12" t="s">
        <v>172</v>
      </c>
      <c r="S12" t="s">
        <v>328</v>
      </c>
      <c r="T12">
        <v>16</v>
      </c>
      <c r="U12">
        <v>1</v>
      </c>
      <c r="W12">
        <v>18</v>
      </c>
      <c r="X12">
        <v>19</v>
      </c>
      <c r="Y12">
        <v>0</v>
      </c>
      <c r="Z12">
        <v>0</v>
      </c>
      <c r="AA12">
        <v>0</v>
      </c>
      <c r="AC12">
        <v>1</v>
      </c>
      <c r="AG12">
        <v>4</v>
      </c>
      <c r="AH12">
        <v>10</v>
      </c>
      <c r="AO12">
        <v>15</v>
      </c>
      <c r="AQ12">
        <v>8</v>
      </c>
      <c r="AR12">
        <v>4</v>
      </c>
      <c r="AS12">
        <v>3</v>
      </c>
      <c r="AT12">
        <v>0</v>
      </c>
      <c r="AU12">
        <v>0</v>
      </c>
      <c r="AV12">
        <v>15</v>
      </c>
      <c r="AX12" t="s">
        <v>365</v>
      </c>
      <c r="AY12" t="s">
        <v>366</v>
      </c>
      <c r="BA12">
        <v>7</v>
      </c>
      <c r="BO12">
        <v>2</v>
      </c>
      <c r="BS12">
        <v>4</v>
      </c>
      <c r="BT12">
        <v>2</v>
      </c>
      <c r="BW12">
        <v>1</v>
      </c>
      <c r="CF12">
        <v>2</v>
      </c>
      <c r="CW12">
        <v>2</v>
      </c>
      <c r="CY12">
        <v>1</v>
      </c>
      <c r="DE12">
        <v>1</v>
      </c>
      <c r="EW12">
        <v>4</v>
      </c>
      <c r="FM12">
        <v>1</v>
      </c>
    </row>
    <row r="13" spans="1:191">
      <c r="A13" s="31">
        <v>9</v>
      </c>
      <c r="B13" t="s">
        <v>202</v>
      </c>
      <c r="C13" t="s">
        <v>203</v>
      </c>
      <c r="D13" t="s">
        <v>204</v>
      </c>
      <c r="E13">
        <v>4</v>
      </c>
      <c r="F13">
        <v>4</v>
      </c>
      <c r="G13">
        <v>0</v>
      </c>
      <c r="H13">
        <v>0</v>
      </c>
      <c r="I13">
        <v>0</v>
      </c>
      <c r="K13">
        <v>4</v>
      </c>
      <c r="L13">
        <v>103</v>
      </c>
      <c r="N13">
        <v>103</v>
      </c>
      <c r="O13">
        <v>0</v>
      </c>
      <c r="P13">
        <v>0</v>
      </c>
      <c r="Q13">
        <f t="shared" si="0"/>
        <v>103</v>
      </c>
      <c r="R13" t="s">
        <v>172</v>
      </c>
      <c r="S13" t="s">
        <v>328</v>
      </c>
      <c r="T13">
        <v>32</v>
      </c>
      <c r="U13">
        <v>2</v>
      </c>
      <c r="W13">
        <v>30</v>
      </c>
      <c r="X13">
        <v>0</v>
      </c>
      <c r="Y13">
        <v>0</v>
      </c>
      <c r="Z13">
        <v>0</v>
      </c>
      <c r="AA13">
        <v>32</v>
      </c>
      <c r="AH13">
        <v>13</v>
      </c>
      <c r="AI13">
        <v>17</v>
      </c>
      <c r="AQ13">
        <v>10</v>
      </c>
      <c r="AR13">
        <v>16</v>
      </c>
      <c r="AS13">
        <v>4</v>
      </c>
      <c r="AX13" t="s">
        <v>205</v>
      </c>
      <c r="AY13" t="s">
        <v>206</v>
      </c>
      <c r="BA13">
        <v>91</v>
      </c>
      <c r="BH13">
        <v>2</v>
      </c>
      <c r="BL13">
        <v>1</v>
      </c>
      <c r="BS13">
        <v>1</v>
      </c>
      <c r="BY13">
        <v>1</v>
      </c>
      <c r="CL13">
        <v>2</v>
      </c>
      <c r="CW13">
        <v>1</v>
      </c>
      <c r="DP13">
        <v>1</v>
      </c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>
        <v>1</v>
      </c>
      <c r="FN13" s="17"/>
      <c r="FO13" s="17"/>
      <c r="FP13" s="17"/>
      <c r="FQ13" s="17">
        <v>2</v>
      </c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</row>
    <row r="14" spans="1:191">
      <c r="A14" s="18">
        <v>10</v>
      </c>
      <c r="B14" t="s">
        <v>207</v>
      </c>
      <c r="C14" t="s">
        <v>370</v>
      </c>
      <c r="D14" t="s">
        <v>209</v>
      </c>
      <c r="E14">
        <v>2</v>
      </c>
      <c r="F14">
        <v>2</v>
      </c>
      <c r="G14">
        <v>0</v>
      </c>
      <c r="H14">
        <v>0</v>
      </c>
      <c r="I14">
        <v>0</v>
      </c>
      <c r="K14">
        <v>2</v>
      </c>
      <c r="L14">
        <v>49</v>
      </c>
      <c r="N14">
        <v>23</v>
      </c>
      <c r="O14">
        <v>26</v>
      </c>
      <c r="P14">
        <v>0</v>
      </c>
      <c r="Q14">
        <f t="shared" si="0"/>
        <v>49</v>
      </c>
      <c r="R14" t="s">
        <v>172</v>
      </c>
      <c r="AX14" t="s">
        <v>210</v>
      </c>
      <c r="AY14" t="s">
        <v>211</v>
      </c>
      <c r="BA14">
        <v>27</v>
      </c>
      <c r="BD14">
        <v>1</v>
      </c>
      <c r="BS14">
        <v>1</v>
      </c>
      <c r="BY14">
        <v>1</v>
      </c>
      <c r="CF14">
        <v>2</v>
      </c>
      <c r="CJ14">
        <v>2</v>
      </c>
      <c r="DB14">
        <v>2</v>
      </c>
      <c r="DS14">
        <v>1</v>
      </c>
      <c r="DV14">
        <v>3</v>
      </c>
      <c r="FA14">
        <v>1</v>
      </c>
      <c r="FB14">
        <v>2</v>
      </c>
      <c r="FN14">
        <v>1</v>
      </c>
      <c r="FQ14" s="17">
        <v>2</v>
      </c>
      <c r="FR14" s="17"/>
      <c r="FS14" s="17"/>
      <c r="FT14" s="17"/>
      <c r="FU14" s="17"/>
      <c r="FV14" s="17"/>
      <c r="FW14" s="17"/>
      <c r="FX14" s="17"/>
      <c r="FY14" s="17"/>
      <c r="FZ14" s="17"/>
      <c r="GA14" s="17">
        <v>2</v>
      </c>
      <c r="GB14" s="17"/>
      <c r="GC14" s="17">
        <v>1</v>
      </c>
      <c r="GD14" s="17"/>
      <c r="GE14" s="17"/>
      <c r="GF14" s="17"/>
      <c r="GG14" s="17"/>
      <c r="GH14" s="17"/>
      <c r="GI14" s="17"/>
    </row>
    <row r="15" spans="1:191">
      <c r="A15" s="29">
        <v>11</v>
      </c>
      <c r="B15" s="17" t="s">
        <v>212</v>
      </c>
      <c r="C15" s="17" t="s">
        <v>369</v>
      </c>
      <c r="D15" s="17" t="s">
        <v>209</v>
      </c>
      <c r="E15">
        <v>2</v>
      </c>
      <c r="F15">
        <v>2</v>
      </c>
      <c r="G15">
        <v>0</v>
      </c>
      <c r="H15">
        <v>0</v>
      </c>
      <c r="I15">
        <v>0</v>
      </c>
      <c r="K15">
        <v>2</v>
      </c>
      <c r="L15">
        <v>43</v>
      </c>
      <c r="N15">
        <v>18</v>
      </c>
      <c r="O15">
        <v>25</v>
      </c>
      <c r="P15">
        <v>0</v>
      </c>
      <c r="Q15">
        <f t="shared" si="0"/>
        <v>43</v>
      </c>
      <c r="R15" t="s">
        <v>172</v>
      </c>
      <c r="S15" t="s">
        <v>328</v>
      </c>
      <c r="T15">
        <v>36</v>
      </c>
      <c r="U15">
        <v>0</v>
      </c>
      <c r="W15">
        <v>14</v>
      </c>
      <c r="X15">
        <v>21</v>
      </c>
      <c r="Y15">
        <v>1</v>
      </c>
      <c r="AA15">
        <v>36</v>
      </c>
      <c r="AF15">
        <v>11</v>
      </c>
      <c r="AG15">
        <v>24</v>
      </c>
      <c r="AQ15">
        <v>24</v>
      </c>
      <c r="AR15">
        <v>12</v>
      </c>
      <c r="AV15">
        <v>36</v>
      </c>
      <c r="AX15" t="s">
        <v>213</v>
      </c>
      <c r="AY15" t="s">
        <v>214</v>
      </c>
      <c r="BA15">
        <v>28</v>
      </c>
      <c r="BD15">
        <v>2</v>
      </c>
      <c r="BL15">
        <v>1</v>
      </c>
      <c r="DB15">
        <v>2</v>
      </c>
      <c r="DV15">
        <v>2</v>
      </c>
      <c r="EJ15">
        <v>3</v>
      </c>
      <c r="EY15" s="17"/>
      <c r="EZ15" s="17"/>
      <c r="FA15" s="17">
        <v>1</v>
      </c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>
        <v>2</v>
      </c>
      <c r="FR15" s="17"/>
      <c r="FS15" s="17">
        <v>1</v>
      </c>
      <c r="FT15" s="17"/>
      <c r="FU15" s="17"/>
      <c r="FV15" s="17"/>
      <c r="FW15" s="17"/>
      <c r="FX15" s="17"/>
      <c r="FY15" s="17"/>
      <c r="FZ15" s="17"/>
      <c r="GA15" s="17"/>
      <c r="GB15" s="17"/>
      <c r="GC15" s="17">
        <v>1</v>
      </c>
      <c r="GD15" s="17"/>
      <c r="GE15" s="17"/>
      <c r="GF15" s="17"/>
      <c r="GG15" s="17"/>
      <c r="GH15" s="17"/>
      <c r="GI15" s="17"/>
    </row>
    <row r="16" spans="1:191">
      <c r="A16" s="37">
        <v>12</v>
      </c>
      <c r="B16" t="s">
        <v>215</v>
      </c>
      <c r="C16" t="s">
        <v>216</v>
      </c>
      <c r="D16" t="s">
        <v>217</v>
      </c>
      <c r="E16">
        <v>2</v>
      </c>
      <c r="F16">
        <v>2</v>
      </c>
      <c r="G16">
        <v>0</v>
      </c>
      <c r="H16">
        <v>0</v>
      </c>
      <c r="I16">
        <v>0</v>
      </c>
      <c r="K16">
        <v>2</v>
      </c>
      <c r="L16">
        <v>44</v>
      </c>
      <c r="N16">
        <v>28</v>
      </c>
      <c r="O16">
        <v>16</v>
      </c>
      <c r="P16">
        <v>0</v>
      </c>
      <c r="Q16">
        <f t="shared" si="0"/>
        <v>44</v>
      </c>
      <c r="R16" t="s">
        <v>172</v>
      </c>
      <c r="S16" t="s">
        <v>328</v>
      </c>
      <c r="T16">
        <v>28</v>
      </c>
      <c r="U16">
        <v>1</v>
      </c>
      <c r="W16">
        <v>15</v>
      </c>
      <c r="X16">
        <v>12</v>
      </c>
      <c r="AA16">
        <v>1</v>
      </c>
      <c r="AF16">
        <v>4</v>
      </c>
      <c r="AG16">
        <v>14</v>
      </c>
      <c r="AH16">
        <v>10</v>
      </c>
      <c r="AO16">
        <v>28</v>
      </c>
      <c r="AQ16">
        <v>10</v>
      </c>
      <c r="AR16">
        <v>10</v>
      </c>
      <c r="AS16">
        <v>5</v>
      </c>
      <c r="AT16">
        <v>3</v>
      </c>
      <c r="AV16">
        <v>28</v>
      </c>
      <c r="AX16" t="s">
        <v>218</v>
      </c>
      <c r="AY16" t="s">
        <v>219</v>
      </c>
      <c r="BA16">
        <v>31</v>
      </c>
      <c r="BL16">
        <v>2</v>
      </c>
      <c r="BT16">
        <v>1</v>
      </c>
      <c r="BY16">
        <v>1</v>
      </c>
      <c r="CA16">
        <v>1</v>
      </c>
      <c r="CR16">
        <v>1</v>
      </c>
      <c r="CY16">
        <v>1</v>
      </c>
      <c r="DK16">
        <v>1</v>
      </c>
      <c r="EB16">
        <v>1</v>
      </c>
      <c r="EK16">
        <v>1</v>
      </c>
      <c r="FL16">
        <v>1</v>
      </c>
      <c r="FQ16" s="17">
        <v>1</v>
      </c>
      <c r="FR16" s="17"/>
      <c r="FS16" s="17">
        <v>1</v>
      </c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</row>
    <row r="17" spans="1:191">
      <c r="A17" s="29">
        <v>13</v>
      </c>
      <c r="B17" t="s">
        <v>220</v>
      </c>
      <c r="C17" t="s">
        <v>221</v>
      </c>
      <c r="D17" t="s">
        <v>222</v>
      </c>
      <c r="E17">
        <v>3</v>
      </c>
      <c r="F17">
        <v>3</v>
      </c>
      <c r="G17">
        <v>0</v>
      </c>
      <c r="H17">
        <v>0</v>
      </c>
      <c r="I17">
        <v>0</v>
      </c>
      <c r="K17">
        <v>3</v>
      </c>
      <c r="L17">
        <v>54</v>
      </c>
      <c r="N17">
        <v>25</v>
      </c>
      <c r="O17">
        <v>29</v>
      </c>
      <c r="P17">
        <v>0</v>
      </c>
      <c r="Q17">
        <f t="shared" si="0"/>
        <v>54</v>
      </c>
      <c r="R17" t="s">
        <v>172</v>
      </c>
      <c r="S17" t="s">
        <v>328</v>
      </c>
      <c r="T17">
        <v>25</v>
      </c>
      <c r="U17">
        <v>1</v>
      </c>
      <c r="W17">
        <v>14</v>
      </c>
      <c r="X17">
        <v>11</v>
      </c>
      <c r="AC17">
        <v>2</v>
      </c>
      <c r="AF17">
        <v>9</v>
      </c>
      <c r="AG17">
        <v>14</v>
      </c>
      <c r="AO17">
        <v>25</v>
      </c>
      <c r="AQ17">
        <v>8</v>
      </c>
      <c r="AR17">
        <v>10</v>
      </c>
      <c r="AS17">
        <v>2</v>
      </c>
      <c r="AT17">
        <v>2</v>
      </c>
      <c r="AU17">
        <v>3</v>
      </c>
      <c r="AV17">
        <v>25</v>
      </c>
      <c r="AX17" t="s">
        <v>229</v>
      </c>
      <c r="AY17" t="s">
        <v>230</v>
      </c>
      <c r="BA17">
        <v>62</v>
      </c>
      <c r="BD17">
        <v>1</v>
      </c>
      <c r="BL17">
        <v>1</v>
      </c>
      <c r="BO17">
        <v>1</v>
      </c>
      <c r="BT17">
        <v>1</v>
      </c>
      <c r="EX17">
        <v>1</v>
      </c>
      <c r="FO17" s="17"/>
      <c r="FQ17" s="17">
        <v>3</v>
      </c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</row>
    <row r="18" spans="1:191">
      <c r="A18" s="36">
        <v>14</v>
      </c>
      <c r="B18" t="s">
        <v>223</v>
      </c>
      <c r="C18" t="s">
        <v>221</v>
      </c>
      <c r="D18" t="s">
        <v>222</v>
      </c>
      <c r="E18">
        <v>2</v>
      </c>
      <c r="F18">
        <v>2</v>
      </c>
      <c r="G18">
        <v>0</v>
      </c>
      <c r="H18">
        <v>0</v>
      </c>
      <c r="I18">
        <v>0</v>
      </c>
      <c r="K18">
        <v>2</v>
      </c>
      <c r="L18">
        <v>35</v>
      </c>
      <c r="N18">
        <v>19</v>
      </c>
      <c r="O18">
        <v>16</v>
      </c>
      <c r="P18">
        <v>0</v>
      </c>
      <c r="Q18">
        <f t="shared" si="0"/>
        <v>35</v>
      </c>
      <c r="R18" t="s">
        <v>172</v>
      </c>
      <c r="AX18" t="s">
        <v>224</v>
      </c>
      <c r="AY18" t="s">
        <v>225</v>
      </c>
      <c r="BA18">
        <v>27</v>
      </c>
      <c r="BD18">
        <v>1</v>
      </c>
      <c r="BO18">
        <v>1</v>
      </c>
      <c r="BV18">
        <v>1</v>
      </c>
      <c r="CY18">
        <v>1</v>
      </c>
      <c r="FQ18" s="17">
        <v>3</v>
      </c>
      <c r="FR18" s="17"/>
      <c r="FS18" s="17">
        <v>1</v>
      </c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</row>
    <row r="19" spans="1:191">
      <c r="A19" s="29" t="s">
        <v>356</v>
      </c>
      <c r="B19" t="s">
        <v>226</v>
      </c>
      <c r="C19" t="s">
        <v>227</v>
      </c>
      <c r="D19" t="s">
        <v>228</v>
      </c>
      <c r="E19">
        <v>3</v>
      </c>
      <c r="F19">
        <v>0</v>
      </c>
      <c r="G19">
        <v>0</v>
      </c>
      <c r="H19">
        <v>0</v>
      </c>
      <c r="I19">
        <v>3</v>
      </c>
      <c r="K19">
        <v>3</v>
      </c>
      <c r="L19">
        <v>70</v>
      </c>
      <c r="N19">
        <v>70</v>
      </c>
      <c r="O19">
        <v>0</v>
      </c>
      <c r="P19">
        <v>0</v>
      </c>
      <c r="Q19">
        <f t="shared" si="0"/>
        <v>70</v>
      </c>
      <c r="R19" t="s">
        <v>172</v>
      </c>
      <c r="S19" t="s">
        <v>328</v>
      </c>
      <c r="FO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</row>
    <row r="20" spans="1:191">
      <c r="A20" s="29" t="s">
        <v>355</v>
      </c>
      <c r="B20" t="s">
        <v>231</v>
      </c>
      <c r="C20" t="s">
        <v>227</v>
      </c>
      <c r="D20" t="s">
        <v>228</v>
      </c>
      <c r="E20">
        <v>3</v>
      </c>
      <c r="F20">
        <v>0</v>
      </c>
      <c r="G20">
        <v>0</v>
      </c>
      <c r="H20">
        <v>0</v>
      </c>
      <c r="I20">
        <v>3</v>
      </c>
      <c r="K20">
        <v>3</v>
      </c>
      <c r="L20">
        <v>75</v>
      </c>
      <c r="N20">
        <v>75</v>
      </c>
      <c r="O20">
        <v>0</v>
      </c>
      <c r="P20">
        <v>0</v>
      </c>
      <c r="Q20">
        <f t="shared" si="0"/>
        <v>75</v>
      </c>
      <c r="R20" t="s">
        <v>172</v>
      </c>
      <c r="S20" t="s">
        <v>328</v>
      </c>
      <c r="T20">
        <v>56</v>
      </c>
      <c r="U20">
        <v>0</v>
      </c>
      <c r="W20">
        <v>56</v>
      </c>
      <c r="X20">
        <v>0</v>
      </c>
      <c r="Y20">
        <v>0</v>
      </c>
      <c r="Z20">
        <v>0</v>
      </c>
      <c r="AA20">
        <v>56</v>
      </c>
      <c r="AH20">
        <v>11</v>
      </c>
      <c r="AI20">
        <v>45</v>
      </c>
      <c r="AQ20">
        <v>25</v>
      </c>
      <c r="AR20">
        <v>28</v>
      </c>
      <c r="AS20">
        <v>2</v>
      </c>
      <c r="AT20">
        <v>1</v>
      </c>
      <c r="AV20">
        <v>56</v>
      </c>
      <c r="AX20" t="s">
        <v>367</v>
      </c>
      <c r="AY20" t="s">
        <v>368</v>
      </c>
      <c r="BA20">
        <v>64</v>
      </c>
      <c r="BD20">
        <v>1</v>
      </c>
      <c r="BI20">
        <v>1</v>
      </c>
      <c r="BL20">
        <v>2</v>
      </c>
      <c r="BT20">
        <v>2</v>
      </c>
      <c r="DT20">
        <v>1</v>
      </c>
      <c r="EW20">
        <v>1</v>
      </c>
      <c r="FP20">
        <v>2</v>
      </c>
      <c r="FQ20">
        <v>1</v>
      </c>
    </row>
    <row r="21" spans="1:191">
      <c r="A21" s="29" t="s">
        <v>352</v>
      </c>
      <c r="B21" t="s">
        <v>232</v>
      </c>
      <c r="C21" t="s">
        <v>233</v>
      </c>
      <c r="D21" t="s">
        <v>234</v>
      </c>
      <c r="E21">
        <v>4</v>
      </c>
      <c r="F21">
        <v>4</v>
      </c>
      <c r="G21">
        <v>0</v>
      </c>
      <c r="H21">
        <v>0</v>
      </c>
      <c r="I21">
        <v>0</v>
      </c>
      <c r="K21">
        <v>4</v>
      </c>
      <c r="L21">
        <v>97</v>
      </c>
      <c r="N21">
        <v>0</v>
      </c>
      <c r="O21">
        <v>97</v>
      </c>
      <c r="P21">
        <v>0</v>
      </c>
      <c r="Q21">
        <f t="shared" si="0"/>
        <v>97</v>
      </c>
      <c r="R21" t="s">
        <v>172</v>
      </c>
      <c r="S21" t="s">
        <v>328</v>
      </c>
      <c r="T21">
        <v>51</v>
      </c>
      <c r="U21">
        <v>2</v>
      </c>
      <c r="X21">
        <v>50</v>
      </c>
      <c r="Y21">
        <v>1</v>
      </c>
      <c r="AA21">
        <v>51</v>
      </c>
      <c r="AC21">
        <v>1</v>
      </c>
      <c r="AG21">
        <v>14</v>
      </c>
      <c r="AH21">
        <v>36</v>
      </c>
      <c r="AO21">
        <v>51</v>
      </c>
      <c r="AQ21">
        <v>29</v>
      </c>
      <c r="AR21">
        <v>18</v>
      </c>
      <c r="AS21">
        <v>3</v>
      </c>
      <c r="AU21">
        <v>1</v>
      </c>
      <c r="AV21">
        <v>51</v>
      </c>
      <c r="AX21" t="s">
        <v>235</v>
      </c>
      <c r="AY21" t="s">
        <v>236</v>
      </c>
      <c r="BA21">
        <v>90</v>
      </c>
      <c r="BL21">
        <v>1</v>
      </c>
      <c r="BM21">
        <v>1</v>
      </c>
      <c r="BY21">
        <v>1</v>
      </c>
      <c r="CB21">
        <v>1</v>
      </c>
      <c r="FN21">
        <v>1</v>
      </c>
      <c r="FO21" s="17"/>
      <c r="FQ21" s="17">
        <v>1</v>
      </c>
      <c r="FU21">
        <v>1</v>
      </c>
      <c r="FZ21" s="17"/>
    </row>
    <row r="22" spans="1:191">
      <c r="AY22" t="s">
        <v>198</v>
      </c>
      <c r="FZ22" s="17"/>
      <c r="GF22" s="17"/>
      <c r="GG22" s="17"/>
      <c r="GH22" s="17"/>
      <c r="GI22" s="17"/>
    </row>
    <row r="23" spans="1:191">
      <c r="A23" s="18"/>
      <c r="B23" s="16">
        <v>45627</v>
      </c>
      <c r="FO23" s="17"/>
      <c r="FZ23" s="17"/>
    </row>
    <row r="24" spans="1:191">
      <c r="AY24" t="s">
        <v>198</v>
      </c>
      <c r="FZ24" s="17"/>
      <c r="GF24" s="17"/>
      <c r="GG24" s="17"/>
      <c r="GH24" s="17"/>
      <c r="GI24" s="17"/>
    </row>
    <row r="25" spans="1:191">
      <c r="A25" s="30" t="s">
        <v>353</v>
      </c>
      <c r="B25" t="s">
        <v>237</v>
      </c>
      <c r="C25" t="s">
        <v>238</v>
      </c>
      <c r="D25" t="s">
        <v>239</v>
      </c>
      <c r="E25">
        <v>3</v>
      </c>
      <c r="F25">
        <v>3</v>
      </c>
      <c r="G25">
        <v>0</v>
      </c>
      <c r="H25">
        <v>0</v>
      </c>
      <c r="I25">
        <v>0</v>
      </c>
      <c r="K25">
        <v>3</v>
      </c>
      <c r="L25">
        <v>95</v>
      </c>
      <c r="N25">
        <v>90</v>
      </c>
      <c r="O25">
        <v>5</v>
      </c>
      <c r="P25">
        <v>0</v>
      </c>
      <c r="Q25">
        <v>95</v>
      </c>
      <c r="R25" t="s">
        <v>240</v>
      </c>
      <c r="S25" t="s">
        <v>328</v>
      </c>
      <c r="T25">
        <v>78</v>
      </c>
      <c r="U25">
        <v>3</v>
      </c>
      <c r="W25">
        <v>77</v>
      </c>
      <c r="X25">
        <v>1</v>
      </c>
      <c r="AA25">
        <v>78</v>
      </c>
      <c r="AF25">
        <v>14</v>
      </c>
      <c r="AG25">
        <v>44</v>
      </c>
      <c r="AH25">
        <v>17</v>
      </c>
      <c r="AI25">
        <v>1</v>
      </c>
      <c r="AO25">
        <v>78</v>
      </c>
      <c r="AQ25">
        <v>39</v>
      </c>
      <c r="AR25">
        <v>28</v>
      </c>
      <c r="AS25">
        <v>6</v>
      </c>
      <c r="AT25">
        <v>3</v>
      </c>
      <c r="AU25">
        <v>2</v>
      </c>
      <c r="AV25">
        <v>78</v>
      </c>
      <c r="AX25" t="s">
        <v>241</v>
      </c>
      <c r="BA25">
        <v>83</v>
      </c>
      <c r="BE25">
        <v>1</v>
      </c>
      <c r="BH25">
        <v>2</v>
      </c>
      <c r="BI25">
        <v>1</v>
      </c>
      <c r="BN25">
        <v>2</v>
      </c>
      <c r="BO25">
        <v>1</v>
      </c>
      <c r="BS25">
        <v>1</v>
      </c>
      <c r="BU25">
        <v>1</v>
      </c>
      <c r="CF25">
        <v>3</v>
      </c>
      <c r="CM25">
        <v>1</v>
      </c>
      <c r="DN25">
        <v>3</v>
      </c>
      <c r="EK25">
        <v>1</v>
      </c>
      <c r="FF25">
        <v>1</v>
      </c>
      <c r="FM25">
        <v>1</v>
      </c>
      <c r="FN25">
        <v>1</v>
      </c>
      <c r="FO25" s="17"/>
      <c r="FZ25" s="17"/>
    </row>
    <row r="26" spans="1:191">
      <c r="A26" s="32" t="s">
        <v>357</v>
      </c>
      <c r="B26" t="s">
        <v>242</v>
      </c>
      <c r="C26" t="s">
        <v>243</v>
      </c>
      <c r="D26" t="s">
        <v>244</v>
      </c>
      <c r="E26">
        <v>3</v>
      </c>
      <c r="F26">
        <v>3</v>
      </c>
      <c r="G26">
        <v>0</v>
      </c>
      <c r="H26">
        <v>0</v>
      </c>
      <c r="I26">
        <v>0</v>
      </c>
      <c r="K26">
        <v>3</v>
      </c>
      <c r="L26">
        <v>74</v>
      </c>
      <c r="N26">
        <v>38</v>
      </c>
      <c r="O26">
        <v>36</v>
      </c>
      <c r="P26">
        <v>0</v>
      </c>
      <c r="Q26">
        <v>74</v>
      </c>
      <c r="R26" t="s">
        <v>240</v>
      </c>
      <c r="S26" t="s">
        <v>328</v>
      </c>
      <c r="AX26" t="s">
        <v>245</v>
      </c>
      <c r="BA26">
        <v>67</v>
      </c>
      <c r="BL26">
        <v>3</v>
      </c>
      <c r="BO26">
        <v>1</v>
      </c>
      <c r="CF26">
        <v>1</v>
      </c>
      <c r="GA26">
        <v>1</v>
      </c>
    </row>
    <row r="27" spans="1:191">
      <c r="A27" s="29">
        <v>20</v>
      </c>
      <c r="B27" t="s">
        <v>336</v>
      </c>
      <c r="C27" t="s">
        <v>333</v>
      </c>
      <c r="D27" t="s">
        <v>334</v>
      </c>
      <c r="E27">
        <v>2</v>
      </c>
      <c r="F27">
        <v>2</v>
      </c>
      <c r="G27">
        <v>0</v>
      </c>
      <c r="H27">
        <v>0</v>
      </c>
      <c r="I27">
        <v>0</v>
      </c>
      <c r="K27">
        <v>2</v>
      </c>
      <c r="L27">
        <v>47</v>
      </c>
      <c r="N27">
        <v>27</v>
      </c>
      <c r="O27">
        <v>20</v>
      </c>
      <c r="P27">
        <v>0</v>
      </c>
      <c r="Q27">
        <v>47</v>
      </c>
      <c r="R27" t="s">
        <v>240</v>
      </c>
      <c r="S27" t="s">
        <v>328</v>
      </c>
      <c r="T27">
        <v>25</v>
      </c>
      <c r="U27">
        <v>0</v>
      </c>
      <c r="W27">
        <v>12</v>
      </c>
      <c r="X27">
        <v>13</v>
      </c>
      <c r="AA27">
        <v>25</v>
      </c>
      <c r="AH27">
        <v>11</v>
      </c>
      <c r="AI27">
        <v>13</v>
      </c>
      <c r="AJ27">
        <v>1</v>
      </c>
      <c r="AO27">
        <v>25</v>
      </c>
      <c r="AQ27">
        <v>3</v>
      </c>
      <c r="AR27">
        <v>13</v>
      </c>
      <c r="AS27">
        <v>5</v>
      </c>
      <c r="AT27">
        <v>0</v>
      </c>
      <c r="AU27">
        <v>4</v>
      </c>
      <c r="AV27">
        <v>48</v>
      </c>
      <c r="AX27" t="s">
        <v>335</v>
      </c>
      <c r="BA27">
        <v>44</v>
      </c>
      <c r="BS27">
        <v>1</v>
      </c>
      <c r="EJ27">
        <v>1</v>
      </c>
    </row>
    <row r="28" spans="1:191">
      <c r="A28" s="29">
        <v>21</v>
      </c>
      <c r="B28" t="s">
        <v>342</v>
      </c>
      <c r="C28" t="s">
        <v>333</v>
      </c>
      <c r="D28" t="s">
        <v>334</v>
      </c>
      <c r="E28">
        <v>1</v>
      </c>
      <c r="F28">
        <v>1</v>
      </c>
      <c r="G28">
        <v>0</v>
      </c>
      <c r="H28">
        <v>0</v>
      </c>
      <c r="I28">
        <v>0</v>
      </c>
      <c r="K28">
        <v>3</v>
      </c>
      <c r="L28">
        <v>56</v>
      </c>
      <c r="N28">
        <v>32</v>
      </c>
      <c r="O28">
        <v>24</v>
      </c>
      <c r="P28">
        <v>0</v>
      </c>
      <c r="Q28">
        <v>56</v>
      </c>
      <c r="R28" t="s">
        <v>343</v>
      </c>
      <c r="S28" t="s">
        <v>328</v>
      </c>
      <c r="T28">
        <v>48</v>
      </c>
      <c r="U28">
        <v>0</v>
      </c>
      <c r="W28">
        <v>21</v>
      </c>
      <c r="X28">
        <v>24</v>
      </c>
      <c r="Y28">
        <v>2</v>
      </c>
      <c r="Z28">
        <v>1</v>
      </c>
      <c r="AA28">
        <v>48</v>
      </c>
      <c r="AH28">
        <v>12</v>
      </c>
      <c r="AI28">
        <v>35</v>
      </c>
      <c r="AJ28">
        <v>1</v>
      </c>
      <c r="AO28">
        <v>48</v>
      </c>
      <c r="AQ28">
        <v>10</v>
      </c>
      <c r="AR28">
        <v>15</v>
      </c>
      <c r="AS28">
        <v>19</v>
      </c>
      <c r="AT28">
        <v>4</v>
      </c>
      <c r="AU28">
        <v>0</v>
      </c>
      <c r="AV28">
        <v>48</v>
      </c>
      <c r="AX28" t="s">
        <v>344</v>
      </c>
      <c r="AY28" t="s">
        <v>345</v>
      </c>
      <c r="BA28">
        <v>51</v>
      </c>
      <c r="BS28">
        <v>1</v>
      </c>
      <c r="CE28">
        <v>1</v>
      </c>
      <c r="DB28">
        <v>1</v>
      </c>
      <c r="FM28">
        <v>1</v>
      </c>
      <c r="FQ28">
        <v>1</v>
      </c>
    </row>
    <row r="29" spans="1:191">
      <c r="A29" s="33" t="s">
        <v>364</v>
      </c>
      <c r="B29" t="s">
        <v>359</v>
      </c>
      <c r="C29" t="s">
        <v>243</v>
      </c>
      <c r="D29" t="s">
        <v>244</v>
      </c>
      <c r="E29">
        <v>3</v>
      </c>
      <c r="F29">
        <v>3</v>
      </c>
      <c r="G29">
        <v>0</v>
      </c>
      <c r="H29">
        <v>0</v>
      </c>
      <c r="K29">
        <v>3</v>
      </c>
      <c r="L29">
        <v>71</v>
      </c>
      <c r="N29">
        <v>37</v>
      </c>
      <c r="O29">
        <v>34</v>
      </c>
      <c r="P29">
        <v>0</v>
      </c>
      <c r="Q29">
        <v>71</v>
      </c>
      <c r="R29" t="s">
        <v>240</v>
      </c>
      <c r="S29" t="s">
        <v>328</v>
      </c>
      <c r="T29">
        <v>39</v>
      </c>
      <c r="U29">
        <v>0</v>
      </c>
      <c r="W29">
        <v>23</v>
      </c>
      <c r="X29">
        <v>16</v>
      </c>
      <c r="Y29">
        <v>0</v>
      </c>
      <c r="Z29">
        <v>0</v>
      </c>
      <c r="AA29">
        <v>39</v>
      </c>
      <c r="AC29">
        <v>2</v>
      </c>
      <c r="AI29">
        <v>12</v>
      </c>
      <c r="AJ29">
        <v>24</v>
      </c>
      <c r="AK29">
        <v>1</v>
      </c>
      <c r="AO29">
        <v>39</v>
      </c>
      <c r="AQ29">
        <v>9</v>
      </c>
      <c r="AR29">
        <v>11</v>
      </c>
      <c r="AS29">
        <v>15</v>
      </c>
      <c r="AT29">
        <v>3</v>
      </c>
      <c r="AU29">
        <v>1</v>
      </c>
      <c r="AV29">
        <v>39</v>
      </c>
      <c r="AX29" t="s">
        <v>360</v>
      </c>
      <c r="AY29" t="s">
        <v>103</v>
      </c>
      <c r="BA29">
        <v>8</v>
      </c>
      <c r="BS29">
        <v>1</v>
      </c>
      <c r="BT29">
        <v>1</v>
      </c>
      <c r="CR29">
        <v>3</v>
      </c>
      <c r="DU29">
        <v>1</v>
      </c>
      <c r="EB29">
        <v>1</v>
      </c>
      <c r="GD29">
        <v>1</v>
      </c>
    </row>
    <row r="30" spans="1:191">
      <c r="A30" s="18">
        <v>23</v>
      </c>
      <c r="B30" s="24" t="s">
        <v>331</v>
      </c>
      <c r="C30" t="s">
        <v>247</v>
      </c>
      <c r="D30" t="s">
        <v>248</v>
      </c>
      <c r="E30">
        <v>3</v>
      </c>
      <c r="F30">
        <v>0</v>
      </c>
      <c r="G30">
        <v>3</v>
      </c>
      <c r="H30">
        <v>0</v>
      </c>
      <c r="I30">
        <v>0</v>
      </c>
      <c r="K30">
        <v>3</v>
      </c>
      <c r="L30">
        <v>62</v>
      </c>
      <c r="N30">
        <v>0</v>
      </c>
      <c r="O30">
        <v>62</v>
      </c>
      <c r="P30">
        <v>0</v>
      </c>
      <c r="Q30">
        <v>62</v>
      </c>
      <c r="R30" t="s">
        <v>249</v>
      </c>
      <c r="AX30" t="s">
        <v>250</v>
      </c>
      <c r="AY30" t="s">
        <v>251</v>
      </c>
      <c r="BA30">
        <v>51</v>
      </c>
      <c r="BT30">
        <v>4</v>
      </c>
      <c r="BY30">
        <v>1</v>
      </c>
      <c r="CX30">
        <v>1</v>
      </c>
      <c r="CY30">
        <v>1</v>
      </c>
      <c r="DA30">
        <v>1</v>
      </c>
      <c r="FI30">
        <v>1</v>
      </c>
      <c r="FQ30">
        <v>2</v>
      </c>
      <c r="FS30">
        <v>1</v>
      </c>
    </row>
    <row r="31" spans="1:191">
      <c r="A31" s="29" t="s">
        <v>358</v>
      </c>
      <c r="B31" t="s">
        <v>332</v>
      </c>
      <c r="C31" t="s">
        <v>253</v>
      </c>
      <c r="D31" t="s">
        <v>326</v>
      </c>
      <c r="E31">
        <v>6</v>
      </c>
      <c r="F31">
        <v>0</v>
      </c>
      <c r="G31">
        <v>0</v>
      </c>
      <c r="H31">
        <v>0</v>
      </c>
      <c r="I31">
        <v>0</v>
      </c>
      <c r="K31">
        <v>6</v>
      </c>
      <c r="L31">
        <v>127</v>
      </c>
      <c r="N31">
        <v>67</v>
      </c>
      <c r="O31">
        <v>60</v>
      </c>
      <c r="P31">
        <v>0</v>
      </c>
      <c r="Q31">
        <v>127</v>
      </c>
      <c r="R31" t="s">
        <v>354</v>
      </c>
      <c r="S31" t="s">
        <v>328</v>
      </c>
      <c r="T31">
        <v>112</v>
      </c>
      <c r="U31">
        <v>5</v>
      </c>
      <c r="W31">
        <v>57</v>
      </c>
      <c r="X31">
        <v>54</v>
      </c>
      <c r="Y31">
        <v>1</v>
      </c>
      <c r="AA31">
        <v>112</v>
      </c>
      <c r="AJ31">
        <v>46</v>
      </c>
      <c r="AK31">
        <v>63</v>
      </c>
      <c r="AL31">
        <v>3</v>
      </c>
      <c r="AO31">
        <v>112</v>
      </c>
      <c r="AQ31">
        <v>24</v>
      </c>
      <c r="AR31">
        <v>59</v>
      </c>
      <c r="AS31">
        <v>24</v>
      </c>
      <c r="AT31">
        <v>3</v>
      </c>
      <c r="AU31">
        <v>2</v>
      </c>
      <c r="AV31">
        <v>112</v>
      </c>
      <c r="AX31" t="s">
        <v>254</v>
      </c>
      <c r="AY31" t="s">
        <v>255</v>
      </c>
      <c r="BA31">
        <v>94</v>
      </c>
      <c r="BD31">
        <v>3</v>
      </c>
      <c r="BL31">
        <v>2</v>
      </c>
      <c r="BO31">
        <v>1</v>
      </c>
      <c r="BS31">
        <v>2</v>
      </c>
      <c r="BY31">
        <v>1</v>
      </c>
      <c r="FQ31">
        <v>3</v>
      </c>
      <c r="FS31">
        <v>1</v>
      </c>
      <c r="FT31">
        <v>1</v>
      </c>
      <c r="FZ31" s="17"/>
    </row>
    <row r="33" spans="1:193" s="20" customFormat="1">
      <c r="A33" s="19"/>
    </row>
    <row r="35" spans="1:193" s="21" customFormat="1" ht="17" thickBot="1">
      <c r="E35" s="21">
        <f>SUM(E5:E34)</f>
        <v>69</v>
      </c>
      <c r="F35" s="21">
        <f>SUM(F5:F34)</f>
        <v>54</v>
      </c>
      <c r="G35" s="21">
        <f>SUM(G5:G34)</f>
        <v>3</v>
      </c>
      <c r="H35" s="21">
        <f>SUM(H5:H34)</f>
        <v>0</v>
      </c>
      <c r="I35" s="21">
        <f>SUM(I5:I34)</f>
        <v>6</v>
      </c>
      <c r="K35" s="21">
        <f>SUM(K2:K34)</f>
        <v>70</v>
      </c>
      <c r="L35" s="21">
        <f>SUM(L2:L34)</f>
        <v>1709</v>
      </c>
      <c r="N35" s="21">
        <f>SUM(N5:N34)</f>
        <v>983</v>
      </c>
      <c r="O35" s="21">
        <f>SUM(O5:O34)</f>
        <v>726</v>
      </c>
      <c r="P35" s="21">
        <f>SUM(P5:P34)</f>
        <v>0</v>
      </c>
      <c r="Q35" s="21">
        <f>SUM(Q5:Q34)</f>
        <v>1709</v>
      </c>
      <c r="T35" s="21">
        <f>SUM(T5:T34)</f>
        <v>810</v>
      </c>
      <c r="U35" s="21">
        <f>SUM(U5:U34)</f>
        <v>25</v>
      </c>
      <c r="W35" s="21">
        <f>SUM(W5:W34)</f>
        <v>480</v>
      </c>
      <c r="X35" s="21">
        <f>SUM(X5:X34)</f>
        <v>337</v>
      </c>
      <c r="Y35" s="21">
        <f>SUM(Y5:Y34)</f>
        <v>5</v>
      </c>
      <c r="Z35" s="21">
        <f>SUM(Z5:Z34)</f>
        <v>6</v>
      </c>
      <c r="AA35" s="21">
        <f>SUM(AA5:AA34)</f>
        <v>677</v>
      </c>
      <c r="AC35" s="21">
        <f t="shared" ref="AC35:AN35" si="1">SUM(AC5:AC34)</f>
        <v>7</v>
      </c>
      <c r="AD35" s="21">
        <f t="shared" si="1"/>
        <v>0</v>
      </c>
      <c r="AE35" s="21">
        <f t="shared" si="1"/>
        <v>0</v>
      </c>
      <c r="AF35" s="21">
        <f t="shared" si="1"/>
        <v>109</v>
      </c>
      <c r="AG35" s="21">
        <f t="shared" si="1"/>
        <v>258</v>
      </c>
      <c r="AH35" s="21">
        <f t="shared" si="1"/>
        <v>175</v>
      </c>
      <c r="AI35" s="21">
        <f t="shared" si="1"/>
        <v>123</v>
      </c>
      <c r="AJ35" s="21">
        <f t="shared" si="1"/>
        <v>72</v>
      </c>
      <c r="AK35" s="21">
        <f t="shared" si="1"/>
        <v>64</v>
      </c>
      <c r="AL35" s="21">
        <f t="shared" si="1"/>
        <v>3</v>
      </c>
      <c r="AM35" s="21">
        <f t="shared" si="1"/>
        <v>0</v>
      </c>
      <c r="AN35" s="21">
        <f t="shared" si="1"/>
        <v>0</v>
      </c>
      <c r="AO35" s="21">
        <f>SUM(AO4:AO34)</f>
        <v>606</v>
      </c>
      <c r="AQ35" s="21">
        <f t="shared" ref="AQ35:AV35" si="2">SUM(AQ5:AQ34)</f>
        <v>352</v>
      </c>
      <c r="AR35" s="21">
        <f t="shared" si="2"/>
        <v>305</v>
      </c>
      <c r="AS35" s="21">
        <f t="shared" si="2"/>
        <v>108</v>
      </c>
      <c r="AT35" s="21">
        <f t="shared" si="2"/>
        <v>21</v>
      </c>
      <c r="AU35" s="21">
        <f t="shared" si="2"/>
        <v>19</v>
      </c>
      <c r="AV35" s="21">
        <f t="shared" si="2"/>
        <v>714</v>
      </c>
      <c r="BA35" s="21">
        <f t="shared" ref="BA35:CF35" si="3">SUM(BA5:BA34)</f>
        <v>1325</v>
      </c>
      <c r="BB35" s="21">
        <f t="shared" si="3"/>
        <v>0</v>
      </c>
      <c r="BC35" s="21">
        <f t="shared" si="3"/>
        <v>0</v>
      </c>
      <c r="BD35" s="21">
        <f t="shared" si="3"/>
        <v>14</v>
      </c>
      <c r="BE35" s="21">
        <f t="shared" si="3"/>
        <v>1</v>
      </c>
      <c r="BF35" s="21">
        <f t="shared" si="3"/>
        <v>0</v>
      </c>
      <c r="BG35" s="21">
        <f t="shared" si="3"/>
        <v>0</v>
      </c>
      <c r="BH35" s="21">
        <f t="shared" si="3"/>
        <v>6</v>
      </c>
      <c r="BI35" s="21">
        <f t="shared" si="3"/>
        <v>2</v>
      </c>
      <c r="BJ35" s="21">
        <f t="shared" si="3"/>
        <v>0</v>
      </c>
      <c r="BK35" s="21">
        <f t="shared" si="3"/>
        <v>0</v>
      </c>
      <c r="BL35" s="21">
        <f t="shared" si="3"/>
        <v>14</v>
      </c>
      <c r="BM35" s="21">
        <f t="shared" si="3"/>
        <v>1</v>
      </c>
      <c r="BN35" s="21">
        <f t="shared" si="3"/>
        <v>2</v>
      </c>
      <c r="BO35" s="21">
        <f t="shared" si="3"/>
        <v>9</v>
      </c>
      <c r="BP35" s="21">
        <f t="shared" si="3"/>
        <v>0</v>
      </c>
      <c r="BQ35" s="21">
        <f t="shared" si="3"/>
        <v>1</v>
      </c>
      <c r="BR35" s="21">
        <f t="shared" si="3"/>
        <v>0</v>
      </c>
      <c r="BS35" s="21">
        <f t="shared" si="3"/>
        <v>23</v>
      </c>
      <c r="BT35" s="21">
        <f t="shared" si="3"/>
        <v>18</v>
      </c>
      <c r="BU35" s="21">
        <f t="shared" si="3"/>
        <v>1</v>
      </c>
      <c r="BV35" s="21">
        <f t="shared" si="3"/>
        <v>1</v>
      </c>
      <c r="BW35" s="21">
        <f t="shared" si="3"/>
        <v>2</v>
      </c>
      <c r="BX35" s="21">
        <f t="shared" si="3"/>
        <v>0</v>
      </c>
      <c r="BY35" s="21">
        <f t="shared" si="3"/>
        <v>7</v>
      </c>
      <c r="BZ35" s="21">
        <f t="shared" si="3"/>
        <v>0</v>
      </c>
      <c r="CA35" s="21">
        <f t="shared" si="3"/>
        <v>1</v>
      </c>
      <c r="CB35" s="21">
        <f t="shared" si="3"/>
        <v>1</v>
      </c>
      <c r="CC35" s="21">
        <f t="shared" si="3"/>
        <v>0</v>
      </c>
      <c r="CD35" s="21">
        <f t="shared" si="3"/>
        <v>0</v>
      </c>
      <c r="CE35" s="21">
        <f t="shared" si="3"/>
        <v>1</v>
      </c>
      <c r="CF35" s="21">
        <f t="shared" si="3"/>
        <v>16</v>
      </c>
      <c r="CG35" s="21">
        <f t="shared" ref="CG35:DM35" si="4">SUM(CG5:CG34)</f>
        <v>0</v>
      </c>
      <c r="CH35" s="21">
        <f t="shared" si="4"/>
        <v>0</v>
      </c>
      <c r="CI35" s="21">
        <f t="shared" si="4"/>
        <v>0</v>
      </c>
      <c r="CJ35" s="21">
        <f t="shared" si="4"/>
        <v>2</v>
      </c>
      <c r="CK35" s="21">
        <f t="shared" si="4"/>
        <v>0</v>
      </c>
      <c r="CL35" s="21">
        <f t="shared" si="4"/>
        <v>2</v>
      </c>
      <c r="CM35" s="21">
        <f t="shared" si="4"/>
        <v>1</v>
      </c>
      <c r="CN35" s="21">
        <f t="shared" si="4"/>
        <v>0</v>
      </c>
      <c r="CO35" s="21">
        <f t="shared" si="4"/>
        <v>0</v>
      </c>
      <c r="CP35" s="21">
        <f t="shared" si="4"/>
        <v>0</v>
      </c>
      <c r="CQ35" s="21">
        <f t="shared" si="4"/>
        <v>0</v>
      </c>
      <c r="CR35" s="21">
        <f t="shared" si="4"/>
        <v>4</v>
      </c>
      <c r="CS35" s="21">
        <f t="shared" si="4"/>
        <v>0</v>
      </c>
      <c r="CT35" s="21">
        <f t="shared" si="4"/>
        <v>0</v>
      </c>
      <c r="CU35" s="21">
        <f t="shared" si="4"/>
        <v>0</v>
      </c>
      <c r="CV35" s="21">
        <f t="shared" si="4"/>
        <v>0</v>
      </c>
      <c r="CW35" s="21">
        <f t="shared" si="4"/>
        <v>6</v>
      </c>
      <c r="CX35" s="21">
        <f t="shared" si="4"/>
        <v>1</v>
      </c>
      <c r="CY35" s="21">
        <f t="shared" si="4"/>
        <v>4</v>
      </c>
      <c r="CZ35" s="21">
        <f t="shared" si="4"/>
        <v>0</v>
      </c>
      <c r="DA35" s="21">
        <f t="shared" si="4"/>
        <v>2</v>
      </c>
      <c r="DB35" s="21">
        <f t="shared" si="4"/>
        <v>5</v>
      </c>
      <c r="DC35" s="21">
        <f t="shared" si="4"/>
        <v>0</v>
      </c>
      <c r="DD35" s="21">
        <f t="shared" si="4"/>
        <v>0</v>
      </c>
      <c r="DE35" s="21">
        <f t="shared" si="4"/>
        <v>1</v>
      </c>
      <c r="DF35" s="21">
        <f t="shared" si="4"/>
        <v>0</v>
      </c>
      <c r="DG35" s="21">
        <f t="shared" si="4"/>
        <v>0</v>
      </c>
      <c r="DH35" s="21">
        <f t="shared" si="4"/>
        <v>2</v>
      </c>
      <c r="DI35" s="21">
        <f t="shared" si="4"/>
        <v>0</v>
      </c>
      <c r="DK35" s="21">
        <f t="shared" si="4"/>
        <v>1</v>
      </c>
      <c r="DL35" s="21">
        <f t="shared" si="4"/>
        <v>0</v>
      </c>
      <c r="DM35" s="21">
        <f t="shared" si="4"/>
        <v>0</v>
      </c>
      <c r="DN35" s="21">
        <f t="shared" ref="DN35:ET35" si="5">SUM(DN5:DN34)</f>
        <v>4</v>
      </c>
      <c r="DO35" s="21">
        <f t="shared" si="5"/>
        <v>1</v>
      </c>
      <c r="DP35" s="21">
        <f t="shared" si="5"/>
        <v>2</v>
      </c>
      <c r="DQ35" s="21">
        <f t="shared" si="5"/>
        <v>0</v>
      </c>
      <c r="DR35" s="21">
        <f t="shared" si="5"/>
        <v>0</v>
      </c>
      <c r="DS35" s="21">
        <f t="shared" si="5"/>
        <v>1</v>
      </c>
      <c r="DT35" s="21">
        <f t="shared" si="5"/>
        <v>1</v>
      </c>
      <c r="DU35" s="21">
        <f t="shared" si="5"/>
        <v>1</v>
      </c>
      <c r="DV35" s="21">
        <f t="shared" si="5"/>
        <v>5</v>
      </c>
      <c r="DW35" s="21">
        <f t="shared" si="5"/>
        <v>0</v>
      </c>
      <c r="DX35" s="21">
        <f t="shared" si="5"/>
        <v>0</v>
      </c>
      <c r="DY35" s="21">
        <f t="shared" si="5"/>
        <v>0</v>
      </c>
      <c r="DZ35" s="21">
        <f t="shared" si="5"/>
        <v>0</v>
      </c>
      <c r="EA35" s="21">
        <f t="shared" si="5"/>
        <v>0</v>
      </c>
      <c r="EB35" s="21">
        <f t="shared" si="5"/>
        <v>2</v>
      </c>
      <c r="EC35" s="21">
        <f t="shared" si="5"/>
        <v>0</v>
      </c>
      <c r="ED35" s="21">
        <f t="shared" si="5"/>
        <v>0</v>
      </c>
      <c r="EE35" s="21">
        <f t="shared" si="5"/>
        <v>0</v>
      </c>
      <c r="EF35" s="21">
        <f t="shared" si="5"/>
        <v>0</v>
      </c>
      <c r="EG35" s="21">
        <f t="shared" si="5"/>
        <v>0</v>
      </c>
      <c r="EH35" s="21">
        <f t="shared" si="5"/>
        <v>0</v>
      </c>
      <c r="EI35" s="21">
        <f t="shared" si="5"/>
        <v>0</v>
      </c>
      <c r="EJ35" s="21">
        <f t="shared" si="5"/>
        <v>4</v>
      </c>
      <c r="EK35" s="21">
        <f t="shared" si="5"/>
        <v>2</v>
      </c>
      <c r="EL35" s="21">
        <f t="shared" si="5"/>
        <v>0</v>
      </c>
      <c r="EM35" s="21">
        <f>SUM(EM2:EM34)</f>
        <v>1</v>
      </c>
      <c r="EN35" s="21">
        <f t="shared" si="5"/>
        <v>0</v>
      </c>
      <c r="EO35" s="21">
        <f t="shared" si="5"/>
        <v>0</v>
      </c>
      <c r="EP35" s="21">
        <f t="shared" si="5"/>
        <v>0</v>
      </c>
      <c r="EQ35" s="21">
        <f t="shared" si="5"/>
        <v>0</v>
      </c>
      <c r="ER35" s="21">
        <f t="shared" si="5"/>
        <v>0</v>
      </c>
      <c r="ES35" s="21">
        <f t="shared" si="5"/>
        <v>0</v>
      </c>
      <c r="ET35" s="21">
        <f t="shared" si="5"/>
        <v>0</v>
      </c>
      <c r="EU35" s="21">
        <f t="shared" ref="EU35:FZ35" si="6">SUM(EU5:EU34)</f>
        <v>0</v>
      </c>
      <c r="EV35" s="21">
        <f t="shared" si="6"/>
        <v>0</v>
      </c>
      <c r="EW35" s="21">
        <f t="shared" si="6"/>
        <v>5</v>
      </c>
      <c r="EX35" s="21">
        <f t="shared" si="6"/>
        <v>1</v>
      </c>
      <c r="EY35" s="21">
        <f t="shared" si="6"/>
        <v>0</v>
      </c>
      <c r="EZ35" s="21">
        <f t="shared" si="6"/>
        <v>0</v>
      </c>
      <c r="FA35" s="21">
        <f t="shared" si="6"/>
        <v>3</v>
      </c>
      <c r="FB35" s="21">
        <f t="shared" si="6"/>
        <v>2</v>
      </c>
      <c r="FC35" s="21">
        <f t="shared" si="6"/>
        <v>0</v>
      </c>
      <c r="FD35" s="21">
        <f t="shared" si="6"/>
        <v>0</v>
      </c>
      <c r="FE35" s="21">
        <f t="shared" si="6"/>
        <v>0</v>
      </c>
      <c r="FF35" s="21">
        <f t="shared" si="6"/>
        <v>1</v>
      </c>
      <c r="FG35" s="21">
        <f t="shared" si="6"/>
        <v>0</v>
      </c>
      <c r="FH35" s="21">
        <f t="shared" si="6"/>
        <v>0</v>
      </c>
      <c r="FI35" s="21">
        <f t="shared" si="6"/>
        <v>1</v>
      </c>
      <c r="FJ35" s="21">
        <f t="shared" si="6"/>
        <v>0</v>
      </c>
      <c r="FK35" s="21">
        <f t="shared" si="6"/>
        <v>0</v>
      </c>
      <c r="FL35" s="21">
        <f t="shared" si="6"/>
        <v>1</v>
      </c>
      <c r="FM35" s="21">
        <f t="shared" si="6"/>
        <v>6</v>
      </c>
      <c r="FN35" s="21">
        <f t="shared" si="6"/>
        <v>3</v>
      </c>
      <c r="FO35" s="21">
        <f t="shared" si="6"/>
        <v>0</v>
      </c>
      <c r="FP35" s="21">
        <f t="shared" si="6"/>
        <v>2</v>
      </c>
      <c r="FQ35" s="21">
        <f t="shared" si="6"/>
        <v>33</v>
      </c>
      <c r="FR35" s="21">
        <f t="shared" si="6"/>
        <v>0</v>
      </c>
      <c r="FS35" s="21">
        <f t="shared" si="6"/>
        <v>6</v>
      </c>
      <c r="FT35" s="21">
        <f t="shared" si="6"/>
        <v>1</v>
      </c>
      <c r="FU35" s="21">
        <f t="shared" si="6"/>
        <v>1</v>
      </c>
      <c r="FV35" s="21">
        <f t="shared" si="6"/>
        <v>0</v>
      </c>
      <c r="FW35" s="21">
        <f t="shared" si="6"/>
        <v>0</v>
      </c>
      <c r="FX35" s="21">
        <f t="shared" si="6"/>
        <v>0</v>
      </c>
      <c r="FY35" s="21">
        <f t="shared" si="6"/>
        <v>0</v>
      </c>
      <c r="FZ35" s="21">
        <f t="shared" si="6"/>
        <v>0</v>
      </c>
      <c r="GA35" s="21">
        <f t="shared" ref="GA35:GI35" si="7">SUM(GA5:GA34)</f>
        <v>3</v>
      </c>
      <c r="GB35" s="21">
        <f t="shared" si="7"/>
        <v>0</v>
      </c>
      <c r="GC35" s="21">
        <f t="shared" si="7"/>
        <v>4</v>
      </c>
      <c r="GD35" s="21">
        <f t="shared" si="7"/>
        <v>1</v>
      </c>
      <c r="GE35" s="21">
        <f t="shared" si="7"/>
        <v>0</v>
      </c>
      <c r="GF35" s="21">
        <f t="shared" si="7"/>
        <v>0</v>
      </c>
      <c r="GG35" s="21">
        <f t="shared" si="7"/>
        <v>0</v>
      </c>
      <c r="GH35" s="21">
        <f t="shared" si="7"/>
        <v>0</v>
      </c>
      <c r="GI35" s="21">
        <f t="shared" si="7"/>
        <v>0</v>
      </c>
    </row>
    <row r="36" spans="1:193" ht="17" thickTop="1"/>
    <row r="37" spans="1:193">
      <c r="CO37" s="22"/>
    </row>
    <row r="38" spans="1:193">
      <c r="GK38" t="s">
        <v>256</v>
      </c>
    </row>
    <row r="39" spans="1:193">
      <c r="GK39" t="s">
        <v>257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49C6-3FB7-0F42-88C1-77FF31F85155}">
  <dimension ref="A1:EO38"/>
  <sheetViews>
    <sheetView workbookViewId="0">
      <selection activeCell="C20" sqref="C20"/>
    </sheetView>
  </sheetViews>
  <sheetFormatPr baseColWidth="10" defaultColWidth="11" defaultRowHeight="16"/>
  <cols>
    <col min="1" max="1" width="14.1640625" customWidth="1"/>
    <col min="2" max="2" width="27.6640625" customWidth="1"/>
    <col min="3" max="3" width="39" customWidth="1"/>
    <col min="4" max="4" width="92.1640625" customWidth="1"/>
    <col min="5" max="5" width="68.5" customWidth="1"/>
    <col min="9" max="9" width="15.33203125" customWidth="1"/>
    <col min="88" max="88" width="16.5" customWidth="1"/>
  </cols>
  <sheetData>
    <row r="1" spans="1:145">
      <c r="A1" s="13" t="s">
        <v>1</v>
      </c>
      <c r="B1" s="6" t="s">
        <v>2</v>
      </c>
      <c r="C1" s="6" t="s">
        <v>3</v>
      </c>
      <c r="D1" s="1" t="s">
        <v>23</v>
      </c>
      <c r="E1" s="1" t="s">
        <v>24</v>
      </c>
      <c r="F1" s="13" t="s">
        <v>25</v>
      </c>
      <c r="G1" s="6" t="s">
        <v>28</v>
      </c>
      <c r="H1" s="6" t="s">
        <v>27</v>
      </c>
      <c r="I1" s="6" t="s">
        <v>26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6" t="s">
        <v>39</v>
      </c>
      <c r="U1" s="6" t="s">
        <v>40</v>
      </c>
      <c r="V1" s="6" t="s">
        <v>41</v>
      </c>
      <c r="W1" s="6" t="s">
        <v>42</v>
      </c>
      <c r="X1" s="6" t="s">
        <v>43</v>
      </c>
      <c r="Y1" s="6" t="s">
        <v>44</v>
      </c>
      <c r="Z1" s="6" t="s">
        <v>45</v>
      </c>
      <c r="AA1" s="6" t="s">
        <v>46</v>
      </c>
      <c r="AB1" s="6" t="s">
        <v>47</v>
      </c>
      <c r="AC1" s="6" t="s">
        <v>48</v>
      </c>
      <c r="AD1" s="6" t="s">
        <v>49</v>
      </c>
      <c r="AE1" s="6" t="s">
        <v>50</v>
      </c>
      <c r="AF1" s="6" t="s">
        <v>51</v>
      </c>
      <c r="AG1" s="6" t="s">
        <v>52</v>
      </c>
      <c r="AH1" s="6" t="s">
        <v>53</v>
      </c>
      <c r="AI1" s="6" t="s">
        <v>54</v>
      </c>
      <c r="AJ1" s="6" t="s">
        <v>55</v>
      </c>
      <c r="AK1" s="6" t="s">
        <v>258</v>
      </c>
      <c r="AL1" s="6" t="s">
        <v>57</v>
      </c>
      <c r="AM1" s="6" t="s">
        <v>58</v>
      </c>
      <c r="AN1" s="5" t="s">
        <v>59</v>
      </c>
      <c r="AO1" s="6" t="s">
        <v>60</v>
      </c>
      <c r="AP1" s="6" t="s">
        <v>61</v>
      </c>
      <c r="AQ1" s="6" t="s">
        <v>62</v>
      </c>
      <c r="AR1" s="6" t="s">
        <v>63</v>
      </c>
      <c r="AS1" s="6" t="s">
        <v>64</v>
      </c>
      <c r="AT1" s="6" t="s">
        <v>65</v>
      </c>
      <c r="AU1" s="6" t="s">
        <v>66</v>
      </c>
      <c r="AV1" s="6" t="s">
        <v>67</v>
      </c>
      <c r="AW1" s="6" t="s">
        <v>68</v>
      </c>
      <c r="AX1" s="6" t="s">
        <v>69</v>
      </c>
      <c r="AY1" s="6" t="s">
        <v>70</v>
      </c>
      <c r="AZ1" s="6" t="s">
        <v>71</v>
      </c>
      <c r="BA1" s="6" t="s">
        <v>72</v>
      </c>
      <c r="BB1" s="6" t="s">
        <v>73</v>
      </c>
      <c r="BC1" s="6" t="s">
        <v>74</v>
      </c>
      <c r="BD1" s="6" t="s">
        <v>75</v>
      </c>
      <c r="BE1" s="6" t="s">
        <v>76</v>
      </c>
      <c r="BF1" s="6" t="s">
        <v>77</v>
      </c>
      <c r="BG1" s="15" t="s">
        <v>78</v>
      </c>
      <c r="BH1" s="6" t="s">
        <v>79</v>
      </c>
      <c r="BI1" s="6" t="s">
        <v>80</v>
      </c>
      <c r="BJ1" s="6" t="s">
        <v>81</v>
      </c>
      <c r="BK1" s="6" t="s">
        <v>82</v>
      </c>
      <c r="BL1" s="6" t="s">
        <v>83</v>
      </c>
      <c r="BM1" s="6" t="s">
        <v>84</v>
      </c>
      <c r="BN1" s="6" t="s">
        <v>259</v>
      </c>
      <c r="BO1" s="6" t="s">
        <v>348</v>
      </c>
      <c r="BP1" s="6" t="s">
        <v>86</v>
      </c>
      <c r="BQ1" s="6" t="s">
        <v>87</v>
      </c>
      <c r="BR1" s="6" t="s">
        <v>260</v>
      </c>
      <c r="BS1" s="6" t="s">
        <v>88</v>
      </c>
      <c r="BT1" s="6" t="s">
        <v>89</v>
      </c>
      <c r="BU1" s="6" t="s">
        <v>90</v>
      </c>
      <c r="BV1" s="6" t="s">
        <v>91</v>
      </c>
      <c r="BW1" s="6" t="s">
        <v>92</v>
      </c>
      <c r="BX1" s="6" t="s">
        <v>93</v>
      </c>
      <c r="BY1" s="15" t="s">
        <v>261</v>
      </c>
      <c r="BZ1" s="6" t="s">
        <v>95</v>
      </c>
      <c r="CA1" s="15" t="s">
        <v>96</v>
      </c>
      <c r="CB1" s="15" t="s">
        <v>97</v>
      </c>
      <c r="CC1" s="1" t="s">
        <v>98</v>
      </c>
      <c r="CD1" s="6" t="s">
        <v>99</v>
      </c>
      <c r="CE1" s="6" t="s">
        <v>100</v>
      </c>
      <c r="CF1" s="6" t="s">
        <v>101</v>
      </c>
      <c r="CG1" s="6" t="s">
        <v>102</v>
      </c>
      <c r="CH1" s="6" t="s">
        <v>103</v>
      </c>
      <c r="CI1" s="6" t="s">
        <v>104</v>
      </c>
      <c r="CJ1" s="6" t="s">
        <v>105</v>
      </c>
      <c r="CK1" s="6" t="s">
        <v>106</v>
      </c>
      <c r="CL1" s="6" t="s">
        <v>107</v>
      </c>
      <c r="CM1" s="6" t="s">
        <v>108</v>
      </c>
      <c r="CN1" s="6" t="s">
        <v>109</v>
      </c>
      <c r="CO1" s="6" t="s">
        <v>110</v>
      </c>
      <c r="CP1" s="15" t="s">
        <v>111</v>
      </c>
      <c r="CQ1" s="6" t="s">
        <v>112</v>
      </c>
      <c r="CR1" s="6" t="s">
        <v>113</v>
      </c>
      <c r="CS1" s="6" t="s">
        <v>114</v>
      </c>
      <c r="CT1" s="6" t="s">
        <v>115</v>
      </c>
      <c r="CU1" s="6" t="s">
        <v>116</v>
      </c>
      <c r="CV1" s="1" t="s">
        <v>117</v>
      </c>
      <c r="CW1" s="6" t="s">
        <v>118</v>
      </c>
      <c r="CX1" s="6" t="s">
        <v>119</v>
      </c>
      <c r="CY1" s="6" t="s">
        <v>120</v>
      </c>
      <c r="CZ1" s="6" t="s">
        <v>121</v>
      </c>
      <c r="DA1" s="6" t="s">
        <v>122</v>
      </c>
      <c r="DB1" s="6" t="s">
        <v>123</v>
      </c>
      <c r="DC1" s="6" t="s">
        <v>124</v>
      </c>
      <c r="DD1" s="6" t="s">
        <v>125</v>
      </c>
      <c r="DE1" s="1" t="s">
        <v>126</v>
      </c>
      <c r="DF1" s="6" t="s">
        <v>127</v>
      </c>
      <c r="DG1" s="15" t="s">
        <v>128</v>
      </c>
      <c r="DH1" s="15" t="s">
        <v>129</v>
      </c>
      <c r="DI1" s="6" t="s">
        <v>130</v>
      </c>
      <c r="DJ1" s="15" t="s">
        <v>131</v>
      </c>
      <c r="DK1" s="6" t="s">
        <v>132</v>
      </c>
      <c r="DL1" s="6" t="s">
        <v>133</v>
      </c>
      <c r="DM1" s="6" t="s">
        <v>135</v>
      </c>
      <c r="DN1" s="6" t="s">
        <v>134</v>
      </c>
      <c r="DO1" s="6" t="s">
        <v>136</v>
      </c>
      <c r="DP1" s="1" t="s">
        <v>137</v>
      </c>
      <c r="DQ1" s="1" t="s">
        <v>138</v>
      </c>
      <c r="DR1" s="15" t="s">
        <v>139</v>
      </c>
      <c r="DS1" s="6" t="s">
        <v>179</v>
      </c>
      <c r="DT1" s="6" t="s">
        <v>141</v>
      </c>
      <c r="DU1" s="6" t="s">
        <v>142</v>
      </c>
      <c r="DV1" s="15" t="s">
        <v>143</v>
      </c>
      <c r="DW1" s="6" t="s">
        <v>144</v>
      </c>
      <c r="DX1" s="6" t="s">
        <v>145</v>
      </c>
      <c r="DY1" s="6" t="s">
        <v>146</v>
      </c>
      <c r="DZ1" s="6" t="s">
        <v>147</v>
      </c>
      <c r="EA1" s="6" t="s">
        <v>148</v>
      </c>
      <c r="EB1" s="6" t="s">
        <v>149</v>
      </c>
      <c r="EC1" s="15" t="s">
        <v>150</v>
      </c>
      <c r="ED1" s="6" t="s">
        <v>262</v>
      </c>
      <c r="EE1" s="6" t="s">
        <v>152</v>
      </c>
      <c r="EF1" s="6" t="s">
        <v>153</v>
      </c>
      <c r="EG1" s="15" t="s">
        <v>154</v>
      </c>
      <c r="EH1" s="6" t="s">
        <v>155</v>
      </c>
      <c r="EI1" s="15" t="s">
        <v>156</v>
      </c>
      <c r="EJ1" s="15" t="s">
        <v>157</v>
      </c>
      <c r="EK1" s="6" t="s">
        <v>158</v>
      </c>
      <c r="EL1" s="6" t="s">
        <v>159</v>
      </c>
      <c r="EM1" s="6" t="s">
        <v>160</v>
      </c>
      <c r="EN1" s="6" t="s">
        <v>161</v>
      </c>
      <c r="EO1" s="7" t="s">
        <v>162</v>
      </c>
    </row>
    <row r="3" spans="1:145">
      <c r="A3" s="8">
        <v>45597</v>
      </c>
      <c r="B3" s="4"/>
      <c r="C3" s="4"/>
    </row>
    <row r="5" spans="1:145">
      <c r="A5" t="s">
        <v>169</v>
      </c>
      <c r="B5" t="s">
        <v>170</v>
      </c>
      <c r="C5" t="s">
        <v>171</v>
      </c>
      <c r="D5" t="s">
        <v>263</v>
      </c>
      <c r="E5" t="s">
        <v>264</v>
      </c>
      <c r="G5">
        <v>1</v>
      </c>
      <c r="Q5">
        <v>4</v>
      </c>
      <c r="BB5">
        <v>1</v>
      </c>
      <c r="BG5">
        <v>2</v>
      </c>
      <c r="DD5">
        <v>1</v>
      </c>
      <c r="DY5">
        <v>1</v>
      </c>
    </row>
    <row r="6" spans="1:145">
      <c r="A6" t="s">
        <v>174</v>
      </c>
      <c r="B6" t="s">
        <v>175</v>
      </c>
      <c r="C6" t="s">
        <v>176</v>
      </c>
      <c r="D6" t="s">
        <v>265</v>
      </c>
      <c r="E6" t="s">
        <v>266</v>
      </c>
      <c r="M6">
        <v>1</v>
      </c>
      <c r="O6">
        <v>1</v>
      </c>
      <c r="Q6">
        <v>8</v>
      </c>
      <c r="AL6">
        <v>1</v>
      </c>
      <c r="BB6">
        <v>1</v>
      </c>
      <c r="BG6">
        <v>1</v>
      </c>
      <c r="BT6">
        <v>1</v>
      </c>
      <c r="DG6">
        <v>1</v>
      </c>
      <c r="DS6">
        <v>1</v>
      </c>
      <c r="DW6">
        <v>3</v>
      </c>
    </row>
    <row r="7" spans="1:145">
      <c r="A7" t="s">
        <v>180</v>
      </c>
      <c r="B7" t="s">
        <v>181</v>
      </c>
      <c r="C7" t="s">
        <v>182</v>
      </c>
      <c r="D7" t="s">
        <v>267</v>
      </c>
      <c r="E7" t="s">
        <v>268</v>
      </c>
      <c r="G7">
        <v>4</v>
      </c>
      <c r="J7">
        <v>1</v>
      </c>
      <c r="K7">
        <v>1</v>
      </c>
      <c r="O7">
        <v>1</v>
      </c>
      <c r="Q7">
        <v>3</v>
      </c>
      <c r="X7">
        <v>10</v>
      </c>
      <c r="AB7">
        <v>1</v>
      </c>
      <c r="AK7">
        <v>1</v>
      </c>
      <c r="AQ7">
        <v>1</v>
      </c>
      <c r="BB7">
        <v>5</v>
      </c>
      <c r="BP7">
        <v>1</v>
      </c>
      <c r="BR7">
        <v>1</v>
      </c>
      <c r="BT7">
        <v>1</v>
      </c>
      <c r="BV7">
        <v>1</v>
      </c>
      <c r="CK7">
        <v>1</v>
      </c>
      <c r="DD7">
        <v>1</v>
      </c>
      <c r="DT7">
        <v>1</v>
      </c>
      <c r="DW7">
        <v>7</v>
      </c>
      <c r="DY7">
        <v>2</v>
      </c>
      <c r="EG7">
        <v>1</v>
      </c>
    </row>
    <row r="8" spans="1:145">
      <c r="A8" t="s">
        <v>185</v>
      </c>
      <c r="B8" t="s">
        <v>181</v>
      </c>
      <c r="C8" t="s">
        <v>182</v>
      </c>
      <c r="D8" t="s">
        <v>269</v>
      </c>
      <c r="E8" t="s">
        <v>270</v>
      </c>
      <c r="G8">
        <v>4</v>
      </c>
      <c r="M8">
        <v>3</v>
      </c>
      <c r="Q8">
        <v>2</v>
      </c>
      <c r="T8">
        <v>1</v>
      </c>
      <c r="X8">
        <v>6</v>
      </c>
      <c r="Y8">
        <v>1</v>
      </c>
      <c r="AF8">
        <v>2</v>
      </c>
      <c r="AK8">
        <v>2</v>
      </c>
      <c r="AO8">
        <v>1</v>
      </c>
      <c r="AP8">
        <v>1</v>
      </c>
      <c r="AX8">
        <v>1</v>
      </c>
      <c r="BB8">
        <v>3</v>
      </c>
      <c r="BF8">
        <v>1</v>
      </c>
      <c r="BG8">
        <v>1</v>
      </c>
      <c r="BP8">
        <v>4</v>
      </c>
      <c r="BU8">
        <v>1</v>
      </c>
      <c r="DD8">
        <v>1</v>
      </c>
      <c r="DW8">
        <v>3</v>
      </c>
      <c r="DY8">
        <v>1</v>
      </c>
    </row>
    <row r="9" spans="1:145">
      <c r="A9" t="s">
        <v>188</v>
      </c>
      <c r="B9" t="s">
        <v>189</v>
      </c>
      <c r="C9" t="s">
        <v>190</v>
      </c>
      <c r="D9" t="s">
        <v>271</v>
      </c>
      <c r="E9" t="s">
        <v>272</v>
      </c>
      <c r="F9">
        <v>3</v>
      </c>
      <c r="G9">
        <v>6</v>
      </c>
      <c r="J9">
        <v>1</v>
      </c>
      <c r="M9">
        <v>4</v>
      </c>
      <c r="O9">
        <v>1</v>
      </c>
      <c r="Q9">
        <v>4</v>
      </c>
      <c r="V9">
        <v>2</v>
      </c>
      <c r="Y9">
        <v>1</v>
      </c>
      <c r="Z9">
        <v>1</v>
      </c>
      <c r="AA9">
        <v>1</v>
      </c>
      <c r="AB9">
        <v>1</v>
      </c>
      <c r="AK9">
        <v>1</v>
      </c>
      <c r="BB9">
        <v>1</v>
      </c>
      <c r="BH9">
        <v>1</v>
      </c>
      <c r="BJ9">
        <v>1</v>
      </c>
      <c r="EI9">
        <v>1</v>
      </c>
    </row>
    <row r="10" spans="1:145">
      <c r="A10" s="17" t="s">
        <v>193</v>
      </c>
      <c r="B10" s="17" t="s">
        <v>189</v>
      </c>
      <c r="C10" s="17" t="s">
        <v>190</v>
      </c>
      <c r="D10" s="17" t="s">
        <v>273</v>
      </c>
      <c r="E10" s="17" t="s">
        <v>274</v>
      </c>
      <c r="G10">
        <v>7</v>
      </c>
      <c r="T10">
        <v>1</v>
      </c>
      <c r="V10">
        <v>2</v>
      </c>
      <c r="AF10">
        <v>1</v>
      </c>
      <c r="AK10">
        <v>2</v>
      </c>
      <c r="BB10">
        <v>2</v>
      </c>
      <c r="DG10">
        <v>2</v>
      </c>
      <c r="EI10">
        <v>1</v>
      </c>
    </row>
    <row r="11" spans="1:145">
      <c r="A11" t="s">
        <v>196</v>
      </c>
      <c r="B11" t="s">
        <v>175</v>
      </c>
      <c r="C11" t="s">
        <v>176</v>
      </c>
      <c r="D11" t="s">
        <v>275</v>
      </c>
      <c r="E11" t="s">
        <v>276</v>
      </c>
      <c r="G11">
        <v>1</v>
      </c>
      <c r="J11">
        <v>3</v>
      </c>
      <c r="O11">
        <v>1</v>
      </c>
      <c r="Q11">
        <v>2</v>
      </c>
      <c r="T11">
        <v>2</v>
      </c>
      <c r="Y11">
        <v>1</v>
      </c>
      <c r="AL11">
        <v>1</v>
      </c>
      <c r="BG11">
        <v>1</v>
      </c>
      <c r="CF11">
        <v>1</v>
      </c>
      <c r="DS11">
        <v>1</v>
      </c>
      <c r="DW11">
        <v>1</v>
      </c>
    </row>
    <row r="12" spans="1:145">
      <c r="A12" s="23" t="s">
        <v>199</v>
      </c>
      <c r="B12" t="s">
        <v>200</v>
      </c>
      <c r="C12" t="s">
        <v>201</v>
      </c>
      <c r="D12" t="s">
        <v>277</v>
      </c>
      <c r="E12" t="s">
        <v>278</v>
      </c>
      <c r="G12">
        <v>1</v>
      </c>
      <c r="Y12">
        <v>9</v>
      </c>
      <c r="BB12">
        <v>2</v>
      </c>
      <c r="BJ12">
        <v>1</v>
      </c>
      <c r="EA12">
        <v>1</v>
      </c>
    </row>
    <row r="13" spans="1:145">
      <c r="A13" t="s">
        <v>202</v>
      </c>
      <c r="B13" t="s">
        <v>203</v>
      </c>
      <c r="C13" t="s">
        <v>204</v>
      </c>
      <c r="D13" t="s">
        <v>279</v>
      </c>
      <c r="E13" t="s">
        <v>280</v>
      </c>
      <c r="G13">
        <v>7</v>
      </c>
      <c r="J13">
        <v>2</v>
      </c>
      <c r="Q13">
        <v>4</v>
      </c>
      <c r="U13">
        <v>2</v>
      </c>
      <c r="AA13">
        <v>1</v>
      </c>
      <c r="AC13">
        <v>1</v>
      </c>
      <c r="BB13">
        <v>5</v>
      </c>
      <c r="BG13">
        <v>1</v>
      </c>
      <c r="DO13">
        <v>1</v>
      </c>
      <c r="DS13">
        <v>1</v>
      </c>
      <c r="DY13">
        <v>1</v>
      </c>
    </row>
    <row r="14" spans="1:145">
      <c r="A14" t="s">
        <v>207</v>
      </c>
      <c r="B14" t="s">
        <v>208</v>
      </c>
      <c r="C14" t="s">
        <v>209</v>
      </c>
      <c r="D14" t="s">
        <v>281</v>
      </c>
      <c r="E14" t="s">
        <v>282</v>
      </c>
      <c r="J14">
        <v>1</v>
      </c>
      <c r="Q14">
        <v>4</v>
      </c>
      <c r="AB14">
        <v>1</v>
      </c>
      <c r="AD14">
        <v>3</v>
      </c>
      <c r="AL14">
        <v>2</v>
      </c>
      <c r="AO14">
        <v>1</v>
      </c>
      <c r="BB14">
        <v>1</v>
      </c>
      <c r="BG14">
        <v>1</v>
      </c>
      <c r="CE14">
        <v>1</v>
      </c>
      <c r="DB14">
        <v>1</v>
      </c>
      <c r="DG14">
        <v>2</v>
      </c>
      <c r="DM14">
        <v>1</v>
      </c>
      <c r="DS14">
        <v>1</v>
      </c>
      <c r="DT14">
        <v>1</v>
      </c>
    </row>
    <row r="15" spans="1:145">
      <c r="A15" s="17" t="s">
        <v>212</v>
      </c>
      <c r="B15" s="17" t="s">
        <v>208</v>
      </c>
      <c r="C15" s="17" t="s">
        <v>209</v>
      </c>
      <c r="D15" s="17" t="s">
        <v>283</v>
      </c>
      <c r="E15" s="17" t="s">
        <v>284</v>
      </c>
      <c r="F15">
        <v>1</v>
      </c>
      <c r="G15">
        <v>3</v>
      </c>
      <c r="I15">
        <v>1</v>
      </c>
      <c r="J15">
        <v>1</v>
      </c>
      <c r="Q15">
        <v>3</v>
      </c>
      <c r="T15">
        <v>1</v>
      </c>
      <c r="AB15">
        <v>3</v>
      </c>
      <c r="AC15">
        <v>2</v>
      </c>
      <c r="AD15">
        <v>1</v>
      </c>
      <c r="AK15">
        <v>1</v>
      </c>
      <c r="AL15">
        <v>1</v>
      </c>
      <c r="AO15">
        <v>2</v>
      </c>
      <c r="DG15">
        <v>1</v>
      </c>
      <c r="DS15">
        <v>1</v>
      </c>
      <c r="DT15">
        <v>1</v>
      </c>
      <c r="EI15">
        <v>1</v>
      </c>
    </row>
    <row r="16" spans="1:145">
      <c r="A16" t="s">
        <v>215</v>
      </c>
      <c r="B16" t="s">
        <v>216</v>
      </c>
      <c r="C16" t="s">
        <v>217</v>
      </c>
      <c r="D16" t="s">
        <v>285</v>
      </c>
      <c r="E16" t="s">
        <v>286</v>
      </c>
      <c r="F16">
        <v>1</v>
      </c>
      <c r="G16">
        <v>2</v>
      </c>
      <c r="M16">
        <v>1</v>
      </c>
      <c r="Q16">
        <v>2</v>
      </c>
      <c r="Y16">
        <v>1</v>
      </c>
      <c r="AB16">
        <v>1</v>
      </c>
      <c r="AL16">
        <v>1</v>
      </c>
      <c r="BB16">
        <v>1</v>
      </c>
      <c r="BD16">
        <v>2</v>
      </c>
      <c r="BM16">
        <v>1</v>
      </c>
      <c r="BN16">
        <v>4</v>
      </c>
      <c r="BT16">
        <v>1</v>
      </c>
      <c r="BU16">
        <v>4</v>
      </c>
      <c r="BV16">
        <v>1</v>
      </c>
      <c r="CB16">
        <v>1</v>
      </c>
      <c r="DW16">
        <v>1</v>
      </c>
      <c r="EH16">
        <v>1</v>
      </c>
    </row>
    <row r="17" spans="1:140">
      <c r="A17" t="s">
        <v>220</v>
      </c>
      <c r="B17" t="s">
        <v>221</v>
      </c>
      <c r="C17" t="s">
        <v>222</v>
      </c>
      <c r="D17" t="s">
        <v>287</v>
      </c>
      <c r="E17" t="s">
        <v>288</v>
      </c>
      <c r="G17">
        <v>7</v>
      </c>
      <c r="Q17">
        <v>1</v>
      </c>
      <c r="T17">
        <v>1</v>
      </c>
      <c r="X17">
        <v>4</v>
      </c>
      <c r="AP17">
        <v>1</v>
      </c>
      <c r="BB17">
        <v>4</v>
      </c>
      <c r="BC17">
        <v>1</v>
      </c>
      <c r="BD17">
        <v>1</v>
      </c>
      <c r="BG17">
        <v>1</v>
      </c>
      <c r="BJ17">
        <v>1</v>
      </c>
      <c r="DT17">
        <v>1</v>
      </c>
      <c r="DY17">
        <v>2</v>
      </c>
    </row>
    <row r="18" spans="1:140">
      <c r="A18" t="s">
        <v>223</v>
      </c>
      <c r="B18" t="s">
        <v>221</v>
      </c>
      <c r="C18" t="s">
        <v>222</v>
      </c>
      <c r="D18" t="s">
        <v>289</v>
      </c>
      <c r="E18" t="s">
        <v>290</v>
      </c>
      <c r="G18">
        <v>3</v>
      </c>
      <c r="M18">
        <v>1</v>
      </c>
      <c r="N18">
        <v>1</v>
      </c>
      <c r="V18">
        <v>1</v>
      </c>
      <c r="X18">
        <v>1</v>
      </c>
      <c r="AK18">
        <v>1</v>
      </c>
      <c r="BC18">
        <v>1</v>
      </c>
      <c r="BD18">
        <v>1</v>
      </c>
      <c r="BN18">
        <v>1</v>
      </c>
      <c r="BU18">
        <v>2</v>
      </c>
      <c r="DZ18">
        <v>1</v>
      </c>
    </row>
    <row r="19" spans="1:140">
      <c r="A19" t="s">
        <v>226</v>
      </c>
      <c r="B19" t="s">
        <v>227</v>
      </c>
      <c r="C19" t="s">
        <v>228</v>
      </c>
      <c r="D19" t="s">
        <v>291</v>
      </c>
      <c r="E19" t="s">
        <v>292</v>
      </c>
      <c r="G19">
        <v>6</v>
      </c>
      <c r="M19">
        <v>4</v>
      </c>
      <c r="Q19">
        <v>4</v>
      </c>
      <c r="V19">
        <v>1</v>
      </c>
      <c r="BB19">
        <v>1</v>
      </c>
      <c r="DD19">
        <v>1</v>
      </c>
      <c r="DS19">
        <v>1</v>
      </c>
      <c r="DW19">
        <v>3</v>
      </c>
      <c r="DY19">
        <v>3</v>
      </c>
    </row>
    <row r="20" spans="1:140">
      <c r="A20" t="s">
        <v>231</v>
      </c>
      <c r="B20" t="s">
        <v>227</v>
      </c>
      <c r="C20" t="s">
        <v>228</v>
      </c>
      <c r="D20" t="s">
        <v>293</v>
      </c>
      <c r="E20" t="s">
        <v>294</v>
      </c>
      <c r="F20">
        <v>1</v>
      </c>
      <c r="G20">
        <v>1</v>
      </c>
      <c r="I20">
        <v>1</v>
      </c>
      <c r="J20">
        <v>1</v>
      </c>
      <c r="Q20">
        <v>3</v>
      </c>
      <c r="V20">
        <v>2</v>
      </c>
      <c r="AC20">
        <v>1</v>
      </c>
      <c r="BG20">
        <v>3</v>
      </c>
      <c r="BN20">
        <v>1</v>
      </c>
      <c r="BP20">
        <v>4</v>
      </c>
      <c r="DG20">
        <v>2</v>
      </c>
      <c r="DH20">
        <v>1</v>
      </c>
      <c r="DW20">
        <v>2</v>
      </c>
      <c r="EG20">
        <v>1</v>
      </c>
    </row>
    <row r="21" spans="1:140">
      <c r="A21" t="s">
        <v>232</v>
      </c>
      <c r="B21" t="s">
        <v>233</v>
      </c>
      <c r="C21" t="s">
        <v>234</v>
      </c>
      <c r="D21" t="s">
        <v>295</v>
      </c>
      <c r="E21" t="s">
        <v>296</v>
      </c>
      <c r="G21">
        <v>2</v>
      </c>
      <c r="I21">
        <v>2</v>
      </c>
      <c r="J21">
        <v>3</v>
      </c>
      <c r="Q21">
        <v>6</v>
      </c>
      <c r="T21">
        <v>1</v>
      </c>
      <c r="X21">
        <v>2</v>
      </c>
      <c r="AA21">
        <v>1</v>
      </c>
      <c r="AD21">
        <v>2</v>
      </c>
      <c r="AF21">
        <v>2</v>
      </c>
      <c r="AM21">
        <v>1</v>
      </c>
      <c r="BB21">
        <v>2</v>
      </c>
      <c r="BG21">
        <v>1</v>
      </c>
      <c r="CO21">
        <v>1</v>
      </c>
      <c r="DG21">
        <v>1</v>
      </c>
      <c r="DW21">
        <v>6</v>
      </c>
    </row>
    <row r="23" spans="1:140">
      <c r="A23" s="16">
        <v>45627</v>
      </c>
    </row>
    <row r="24" spans="1:140">
      <c r="A24" s="26"/>
    </row>
    <row r="25" spans="1:140">
      <c r="A25" s="27" t="s">
        <v>297</v>
      </c>
      <c r="B25" t="s">
        <v>238</v>
      </c>
      <c r="C25" t="s">
        <v>239</v>
      </c>
      <c r="D25" s="17" t="s">
        <v>298</v>
      </c>
      <c r="E25" t="s">
        <v>299</v>
      </c>
      <c r="F25">
        <v>2</v>
      </c>
      <c r="G25">
        <v>3</v>
      </c>
      <c r="I25">
        <v>1</v>
      </c>
      <c r="M25">
        <v>2</v>
      </c>
      <c r="Q25">
        <v>2</v>
      </c>
      <c r="T25">
        <v>1</v>
      </c>
      <c r="V25">
        <v>1</v>
      </c>
      <c r="X25">
        <v>2</v>
      </c>
      <c r="AB25">
        <v>1</v>
      </c>
      <c r="AD25">
        <v>1</v>
      </c>
      <c r="AE25">
        <v>1</v>
      </c>
      <c r="AK25">
        <v>2</v>
      </c>
      <c r="BB25">
        <v>2</v>
      </c>
      <c r="BC25">
        <v>2</v>
      </c>
      <c r="BJ25">
        <v>2</v>
      </c>
      <c r="BZ25">
        <v>2</v>
      </c>
      <c r="CP25">
        <v>2</v>
      </c>
      <c r="DH25">
        <v>1</v>
      </c>
      <c r="DS25">
        <v>2</v>
      </c>
      <c r="DW25">
        <v>2</v>
      </c>
    </row>
    <row r="26" spans="1:140" s="20" customFormat="1">
      <c r="A26" t="s">
        <v>242</v>
      </c>
      <c r="B26" t="s">
        <v>243</v>
      </c>
      <c r="C26" t="s">
        <v>244</v>
      </c>
      <c r="D26" s="28" t="s">
        <v>300</v>
      </c>
      <c r="E26" s="28" t="s">
        <v>301</v>
      </c>
      <c r="F26">
        <v>1</v>
      </c>
      <c r="G26">
        <v>4</v>
      </c>
      <c r="M26">
        <v>1</v>
      </c>
      <c r="O26">
        <v>1</v>
      </c>
      <c r="Q26">
        <v>5</v>
      </c>
      <c r="X26">
        <v>1</v>
      </c>
      <c r="AB26">
        <v>3</v>
      </c>
      <c r="AD26">
        <v>2</v>
      </c>
      <c r="AK26">
        <v>1</v>
      </c>
      <c r="BT26">
        <v>1</v>
      </c>
      <c r="BV26">
        <v>1</v>
      </c>
      <c r="DD26">
        <v>1</v>
      </c>
      <c r="DT26">
        <v>2</v>
      </c>
      <c r="EI26">
        <v>1</v>
      </c>
      <c r="EJ26">
        <v>1</v>
      </c>
    </row>
    <row r="27" spans="1:140">
      <c r="A27" t="s">
        <v>336</v>
      </c>
      <c r="B27" t="s">
        <v>337</v>
      </c>
      <c r="C27" t="s">
        <v>338</v>
      </c>
      <c r="D27" t="s">
        <v>339</v>
      </c>
      <c r="E27" t="s">
        <v>340</v>
      </c>
      <c r="G27">
        <v>3</v>
      </c>
      <c r="M27">
        <v>1</v>
      </c>
      <c r="O27">
        <v>1</v>
      </c>
      <c r="Q27">
        <v>4</v>
      </c>
      <c r="V27">
        <v>2</v>
      </c>
      <c r="X27">
        <v>1</v>
      </c>
      <c r="Y27">
        <v>1</v>
      </c>
      <c r="AD27">
        <v>1</v>
      </c>
      <c r="BB27">
        <v>2</v>
      </c>
      <c r="CO27">
        <v>1</v>
      </c>
      <c r="CY27">
        <v>1</v>
      </c>
      <c r="DF27">
        <v>1</v>
      </c>
      <c r="DK27">
        <v>1</v>
      </c>
      <c r="DS27">
        <v>1</v>
      </c>
      <c r="DW27">
        <v>1</v>
      </c>
    </row>
    <row r="28" spans="1:140">
      <c r="A28" t="s">
        <v>342</v>
      </c>
      <c r="B28" t="s">
        <v>337</v>
      </c>
      <c r="C28" t="s">
        <v>338</v>
      </c>
      <c r="D28" t="s">
        <v>346</v>
      </c>
      <c r="E28" t="s">
        <v>347</v>
      </c>
      <c r="G28">
        <v>4</v>
      </c>
      <c r="M28">
        <v>1</v>
      </c>
      <c r="Q28">
        <v>3</v>
      </c>
      <c r="V28">
        <v>1</v>
      </c>
      <c r="X28">
        <v>1</v>
      </c>
      <c r="BB28">
        <v>1</v>
      </c>
      <c r="BO28">
        <v>1</v>
      </c>
      <c r="CY28">
        <v>1</v>
      </c>
      <c r="DD28">
        <v>1</v>
      </c>
      <c r="DH28">
        <v>1</v>
      </c>
    </row>
    <row r="29" spans="1:140" s="20" customFormat="1">
      <c r="A29" s="34" t="s">
        <v>361</v>
      </c>
      <c r="B29" s="35" t="s">
        <v>243</v>
      </c>
      <c r="C29" s="35" t="s">
        <v>244</v>
      </c>
      <c r="D29" s="34" t="s">
        <v>362</v>
      </c>
      <c r="E29" s="34" t="s">
        <v>363</v>
      </c>
      <c r="F29" s="35">
        <v>4</v>
      </c>
      <c r="G29" s="35">
        <v>4</v>
      </c>
      <c r="H29" s="35"/>
      <c r="I29" s="35"/>
      <c r="J29" s="35">
        <v>1</v>
      </c>
      <c r="K29" s="35">
        <v>1</v>
      </c>
      <c r="L29" s="35"/>
      <c r="M29" s="35">
        <v>1</v>
      </c>
      <c r="N29" s="35"/>
      <c r="O29" s="35">
        <v>3</v>
      </c>
      <c r="P29" s="35">
        <v>1</v>
      </c>
      <c r="Q29" s="35">
        <v>4</v>
      </c>
      <c r="R29" s="35"/>
      <c r="S29" s="35"/>
      <c r="T29" s="35"/>
      <c r="U29" s="35"/>
      <c r="V29" s="35"/>
      <c r="W29" s="35"/>
      <c r="X29" s="35">
        <v>3</v>
      </c>
      <c r="Y29" s="35"/>
      <c r="Z29" s="35"/>
      <c r="AA29" s="35"/>
      <c r="AB29" s="35">
        <v>2</v>
      </c>
      <c r="AC29" s="35">
        <v>1</v>
      </c>
      <c r="AD29" s="35"/>
      <c r="AE29" s="35"/>
      <c r="AF29" s="35">
        <v>1</v>
      </c>
      <c r="AG29" s="35"/>
      <c r="AH29" s="35"/>
      <c r="AI29" s="35">
        <v>1</v>
      </c>
      <c r="AJ29" s="35"/>
      <c r="AK29" s="35"/>
      <c r="AL29" s="35"/>
      <c r="AM29" s="35">
        <v>1</v>
      </c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>
        <v>1</v>
      </c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>
        <v>1</v>
      </c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>
        <v>1</v>
      </c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>
        <v>1</v>
      </c>
    </row>
    <row r="30" spans="1:140" s="20" customFormat="1">
      <c r="A30" t="s">
        <v>246</v>
      </c>
      <c r="B30" t="s">
        <v>247</v>
      </c>
      <c r="C30" t="s">
        <v>248</v>
      </c>
      <c r="D30" s="28" t="s">
        <v>302</v>
      </c>
      <c r="E30" s="28" t="s">
        <v>303</v>
      </c>
      <c r="F30">
        <v>2</v>
      </c>
      <c r="G30"/>
      <c r="J30" s="17">
        <v>1</v>
      </c>
      <c r="M30"/>
      <c r="O30"/>
      <c r="P30">
        <v>1</v>
      </c>
      <c r="Q30">
        <v>8</v>
      </c>
      <c r="S30">
        <v>1</v>
      </c>
      <c r="T30">
        <v>1</v>
      </c>
      <c r="X30"/>
      <c r="AB30"/>
      <c r="AD30"/>
      <c r="AK30"/>
      <c r="BB30">
        <v>1</v>
      </c>
      <c r="BC30">
        <v>1</v>
      </c>
      <c r="BD30">
        <v>3</v>
      </c>
      <c r="BT30">
        <v>1</v>
      </c>
      <c r="BV30"/>
      <c r="DD30"/>
      <c r="DT30"/>
      <c r="DW30">
        <v>1</v>
      </c>
      <c r="EI30"/>
      <c r="EJ30"/>
    </row>
    <row r="31" spans="1:140" s="20" customFormat="1">
      <c r="A31" t="s">
        <v>332</v>
      </c>
      <c r="B31" t="s">
        <v>253</v>
      </c>
      <c r="C31" s="28" t="s">
        <v>326</v>
      </c>
      <c r="D31" s="28" t="s">
        <v>304</v>
      </c>
      <c r="E31" s="28" t="s">
        <v>305</v>
      </c>
      <c r="F31"/>
      <c r="G31">
        <v>9</v>
      </c>
      <c r="I31" s="17">
        <v>1</v>
      </c>
      <c r="M31">
        <v>4</v>
      </c>
      <c r="N31" s="17">
        <v>1</v>
      </c>
      <c r="O31">
        <v>1</v>
      </c>
      <c r="Q31">
        <v>5</v>
      </c>
      <c r="R31" s="17">
        <v>1</v>
      </c>
      <c r="T31" s="17">
        <v>1</v>
      </c>
      <c r="V31" s="17">
        <v>4</v>
      </c>
      <c r="X31">
        <v>3</v>
      </c>
      <c r="AA31" s="17">
        <v>1</v>
      </c>
      <c r="AB31"/>
      <c r="AD31"/>
      <c r="AK31">
        <v>1</v>
      </c>
      <c r="BB31" s="17">
        <v>6</v>
      </c>
      <c r="BN31" s="17">
        <v>1</v>
      </c>
      <c r="BO31" s="17"/>
      <c r="BT31"/>
      <c r="BU31" s="17">
        <v>1</v>
      </c>
      <c r="BV31"/>
      <c r="CM31" s="17">
        <v>1</v>
      </c>
      <c r="CO31" s="17">
        <v>1</v>
      </c>
      <c r="DD31"/>
      <c r="DH31" s="17"/>
      <c r="DO31" s="17">
        <v>1</v>
      </c>
      <c r="DS31" s="17">
        <v>2</v>
      </c>
      <c r="DT31">
        <v>2</v>
      </c>
      <c r="DZ31" s="17">
        <v>1</v>
      </c>
      <c r="EG31" s="17">
        <v>1</v>
      </c>
      <c r="EI31"/>
      <c r="EJ31"/>
    </row>
    <row r="32" spans="1:140" s="20" customFormat="1">
      <c r="A32"/>
      <c r="B32"/>
      <c r="C32"/>
      <c r="D32" s="28"/>
      <c r="E32" s="28"/>
      <c r="F32"/>
      <c r="G32"/>
      <c r="M32"/>
      <c r="O32"/>
      <c r="Q32"/>
      <c r="X32"/>
      <c r="AB32"/>
      <c r="AD32"/>
      <c r="AK32"/>
      <c r="BT32"/>
      <c r="BV32"/>
      <c r="DD32"/>
      <c r="DT32"/>
      <c r="EI32"/>
      <c r="EJ32"/>
    </row>
    <row r="33" spans="1:145" s="20" customFormat="1">
      <c r="A33"/>
      <c r="B33"/>
      <c r="C33"/>
      <c r="D33" s="28"/>
      <c r="E33" s="28"/>
      <c r="F33"/>
      <c r="G33"/>
      <c r="M33"/>
      <c r="O33"/>
      <c r="Q33"/>
      <c r="X33"/>
      <c r="AB33"/>
      <c r="AD33"/>
      <c r="AK33"/>
      <c r="BT33"/>
      <c r="BV33"/>
      <c r="DD33"/>
      <c r="DT33"/>
      <c r="EI33"/>
      <c r="EJ33"/>
    </row>
    <row r="34" spans="1:145" s="20" customFormat="1">
      <c r="A34"/>
      <c r="B34"/>
      <c r="C34"/>
      <c r="D34" s="28"/>
      <c r="E34" s="28"/>
      <c r="F34"/>
      <c r="G34"/>
      <c r="M34"/>
      <c r="O34"/>
      <c r="Q34"/>
      <c r="X34"/>
      <c r="AB34"/>
      <c r="AD34"/>
      <c r="AK34"/>
      <c r="BT34"/>
      <c r="BV34"/>
      <c r="DD34"/>
      <c r="DT34"/>
      <c r="EI34"/>
      <c r="EJ34"/>
    </row>
    <row r="35" spans="1:145" s="20" customFormat="1">
      <c r="A35"/>
      <c r="B35"/>
      <c r="C35"/>
      <c r="D35" s="28"/>
      <c r="E35" s="28"/>
      <c r="F35"/>
      <c r="G35"/>
      <c r="M35"/>
      <c r="O35"/>
      <c r="Q35"/>
      <c r="X35"/>
      <c r="AB35"/>
      <c r="AD35"/>
      <c r="AK35"/>
      <c r="BT35"/>
      <c r="BV35"/>
      <c r="DD35"/>
      <c r="DT35"/>
      <c r="EI35"/>
      <c r="EJ35"/>
    </row>
    <row r="37" spans="1:145" s="21" customFormat="1" ht="17" thickBot="1">
      <c r="F37" s="21">
        <f t="shared" ref="F37:AK37" si="0">SUM(F3:F36)</f>
        <v>15</v>
      </c>
      <c r="G37" s="21">
        <f t="shared" si="0"/>
        <v>82</v>
      </c>
      <c r="H37" s="21">
        <f t="shared" si="0"/>
        <v>0</v>
      </c>
      <c r="I37" s="21">
        <f t="shared" si="0"/>
        <v>6</v>
      </c>
      <c r="J37" s="21">
        <f t="shared" si="0"/>
        <v>15</v>
      </c>
      <c r="K37" s="21">
        <f t="shared" si="0"/>
        <v>2</v>
      </c>
      <c r="L37" s="21">
        <f t="shared" si="0"/>
        <v>0</v>
      </c>
      <c r="M37" s="21">
        <f t="shared" si="0"/>
        <v>24</v>
      </c>
      <c r="N37" s="21">
        <f t="shared" si="0"/>
        <v>2</v>
      </c>
      <c r="O37" s="21">
        <f t="shared" si="0"/>
        <v>10</v>
      </c>
      <c r="P37" s="21">
        <f t="shared" si="0"/>
        <v>2</v>
      </c>
      <c r="Q37" s="21">
        <f t="shared" si="0"/>
        <v>81</v>
      </c>
      <c r="R37" s="21">
        <f t="shared" si="0"/>
        <v>1</v>
      </c>
      <c r="S37" s="21">
        <f t="shared" si="0"/>
        <v>1</v>
      </c>
      <c r="T37" s="21">
        <f t="shared" si="0"/>
        <v>10</v>
      </c>
      <c r="U37" s="21">
        <f t="shared" si="0"/>
        <v>2</v>
      </c>
      <c r="V37" s="21">
        <f t="shared" si="0"/>
        <v>16</v>
      </c>
      <c r="W37" s="21">
        <f t="shared" si="0"/>
        <v>0</v>
      </c>
      <c r="X37" s="21">
        <f t="shared" si="0"/>
        <v>34</v>
      </c>
      <c r="Y37" s="21">
        <f t="shared" si="0"/>
        <v>14</v>
      </c>
      <c r="Z37" s="21">
        <f t="shared" si="0"/>
        <v>1</v>
      </c>
      <c r="AA37" s="21">
        <f t="shared" si="0"/>
        <v>4</v>
      </c>
      <c r="AB37" s="21">
        <f t="shared" si="0"/>
        <v>13</v>
      </c>
      <c r="AC37" s="21">
        <f t="shared" si="0"/>
        <v>5</v>
      </c>
      <c r="AD37" s="21">
        <f t="shared" si="0"/>
        <v>10</v>
      </c>
      <c r="AE37" s="21">
        <f t="shared" si="0"/>
        <v>1</v>
      </c>
      <c r="AF37" s="21">
        <f t="shared" si="0"/>
        <v>6</v>
      </c>
      <c r="AG37" s="21">
        <f t="shared" si="0"/>
        <v>0</v>
      </c>
      <c r="AH37" s="21">
        <f t="shared" si="0"/>
        <v>0</v>
      </c>
      <c r="AI37" s="21">
        <f t="shared" si="0"/>
        <v>1</v>
      </c>
      <c r="AJ37" s="21">
        <f t="shared" si="0"/>
        <v>0</v>
      </c>
      <c r="AK37" s="21">
        <f t="shared" si="0"/>
        <v>12</v>
      </c>
      <c r="AL37" s="21">
        <f t="shared" ref="AL37:BS37" si="1">SUM(AL3:AL36)</f>
        <v>6</v>
      </c>
      <c r="AM37" s="21">
        <f t="shared" si="1"/>
        <v>2</v>
      </c>
      <c r="AN37" s="21">
        <f t="shared" si="1"/>
        <v>0</v>
      </c>
      <c r="AO37" s="21">
        <f t="shared" si="1"/>
        <v>4</v>
      </c>
      <c r="AP37" s="21">
        <f t="shared" si="1"/>
        <v>2</v>
      </c>
      <c r="AQ37" s="21">
        <f t="shared" si="1"/>
        <v>1</v>
      </c>
      <c r="AR37" s="21">
        <f t="shared" si="1"/>
        <v>0</v>
      </c>
      <c r="AS37" s="21">
        <f t="shared" si="1"/>
        <v>0</v>
      </c>
      <c r="AT37" s="21">
        <f t="shared" si="1"/>
        <v>0</v>
      </c>
      <c r="AU37" s="21">
        <f t="shared" si="1"/>
        <v>0</v>
      </c>
      <c r="AV37" s="21">
        <f t="shared" si="1"/>
        <v>0</v>
      </c>
      <c r="AW37" s="21">
        <f t="shared" si="1"/>
        <v>0</v>
      </c>
      <c r="AX37" s="21">
        <f t="shared" si="1"/>
        <v>1</v>
      </c>
      <c r="AY37" s="21">
        <f t="shared" si="1"/>
        <v>0</v>
      </c>
      <c r="AZ37" s="21">
        <f t="shared" si="1"/>
        <v>0</v>
      </c>
      <c r="BA37" s="21">
        <f t="shared" si="1"/>
        <v>0</v>
      </c>
      <c r="BB37" s="21">
        <f t="shared" si="1"/>
        <v>41</v>
      </c>
      <c r="BC37" s="21">
        <f t="shared" si="1"/>
        <v>5</v>
      </c>
      <c r="BD37" s="21">
        <f t="shared" si="1"/>
        <v>7</v>
      </c>
      <c r="BE37" s="21">
        <f t="shared" si="1"/>
        <v>0</v>
      </c>
      <c r="BF37" s="21">
        <f t="shared" si="1"/>
        <v>1</v>
      </c>
      <c r="BG37" s="21">
        <f t="shared" si="1"/>
        <v>13</v>
      </c>
      <c r="BH37" s="21">
        <f t="shared" si="1"/>
        <v>1</v>
      </c>
      <c r="BI37" s="21">
        <f t="shared" si="1"/>
        <v>0</v>
      </c>
      <c r="BJ37" s="21">
        <f t="shared" si="1"/>
        <v>5</v>
      </c>
      <c r="BK37" s="21">
        <f t="shared" si="1"/>
        <v>0</v>
      </c>
      <c r="BL37" s="21">
        <f t="shared" si="1"/>
        <v>0</v>
      </c>
      <c r="BM37" s="21">
        <f t="shared" si="1"/>
        <v>1</v>
      </c>
      <c r="BN37" s="21">
        <f t="shared" si="1"/>
        <v>7</v>
      </c>
      <c r="BP37" s="21">
        <f t="shared" si="1"/>
        <v>9</v>
      </c>
      <c r="BQ37" s="21">
        <f t="shared" si="1"/>
        <v>0</v>
      </c>
      <c r="BR37" s="21">
        <f>SUM(BR2:BR36)</f>
        <v>1</v>
      </c>
      <c r="BS37" s="21">
        <f t="shared" si="1"/>
        <v>0</v>
      </c>
      <c r="BT37" s="21">
        <f t="shared" ref="BT37:CZ37" si="2">SUM(BT3:BT36)</f>
        <v>5</v>
      </c>
      <c r="BU37" s="21">
        <f t="shared" si="2"/>
        <v>8</v>
      </c>
      <c r="BV37" s="21">
        <f t="shared" si="2"/>
        <v>3</v>
      </c>
      <c r="BW37" s="21">
        <f t="shared" si="2"/>
        <v>0</v>
      </c>
      <c r="BX37" s="21">
        <f t="shared" si="2"/>
        <v>0</v>
      </c>
      <c r="BY37" s="21">
        <f t="shared" si="2"/>
        <v>0</v>
      </c>
      <c r="BZ37" s="21">
        <f t="shared" si="2"/>
        <v>2</v>
      </c>
      <c r="CA37" s="21">
        <f t="shared" si="2"/>
        <v>0</v>
      </c>
      <c r="CB37" s="21">
        <f t="shared" si="2"/>
        <v>1</v>
      </c>
      <c r="CC37" s="21">
        <f t="shared" si="2"/>
        <v>0</v>
      </c>
      <c r="CD37" s="21">
        <f t="shared" si="2"/>
        <v>0</v>
      </c>
      <c r="CE37" s="21">
        <f t="shared" si="2"/>
        <v>1</v>
      </c>
      <c r="CF37" s="21">
        <f t="shared" si="2"/>
        <v>1</v>
      </c>
      <c r="CG37" s="21">
        <f t="shared" si="2"/>
        <v>0</v>
      </c>
      <c r="CH37" s="21">
        <f t="shared" si="2"/>
        <v>0</v>
      </c>
      <c r="CI37" s="21">
        <f t="shared" si="2"/>
        <v>0</v>
      </c>
      <c r="CJ37" s="21">
        <f t="shared" si="2"/>
        <v>0</v>
      </c>
      <c r="CK37" s="21">
        <f t="shared" si="2"/>
        <v>1</v>
      </c>
      <c r="CL37" s="21">
        <f t="shared" si="2"/>
        <v>0</v>
      </c>
      <c r="CM37" s="21">
        <f t="shared" si="2"/>
        <v>1</v>
      </c>
      <c r="CN37" s="21">
        <f t="shared" si="2"/>
        <v>0</v>
      </c>
      <c r="CO37" s="21">
        <f t="shared" si="2"/>
        <v>3</v>
      </c>
      <c r="CP37" s="21">
        <f t="shared" si="2"/>
        <v>2</v>
      </c>
      <c r="CQ37" s="21">
        <f t="shared" si="2"/>
        <v>0</v>
      </c>
      <c r="CR37" s="21">
        <f t="shared" si="2"/>
        <v>0</v>
      </c>
      <c r="CS37" s="21">
        <f>SUM(CS2:CS36)</f>
        <v>0</v>
      </c>
      <c r="CT37" s="21">
        <f t="shared" si="2"/>
        <v>0</v>
      </c>
      <c r="CU37" s="21">
        <f t="shared" si="2"/>
        <v>0</v>
      </c>
      <c r="CV37" s="21">
        <f t="shared" si="2"/>
        <v>0</v>
      </c>
      <c r="CW37" s="21">
        <f t="shared" si="2"/>
        <v>0</v>
      </c>
      <c r="CX37" s="21">
        <f t="shared" si="2"/>
        <v>0</v>
      </c>
      <c r="CY37" s="21">
        <f t="shared" si="2"/>
        <v>2</v>
      </c>
      <c r="CZ37" s="21">
        <f t="shared" si="2"/>
        <v>0</v>
      </c>
      <c r="DA37" s="21">
        <f t="shared" ref="DA37:EF37" si="3">SUM(DA3:DA36)</f>
        <v>0</v>
      </c>
      <c r="DB37" s="21">
        <f t="shared" si="3"/>
        <v>2</v>
      </c>
      <c r="DC37" s="21">
        <f t="shared" si="3"/>
        <v>0</v>
      </c>
      <c r="DD37" s="21">
        <f t="shared" si="3"/>
        <v>6</v>
      </c>
      <c r="DE37" s="21">
        <f t="shared" si="3"/>
        <v>0</v>
      </c>
      <c r="DF37" s="21">
        <f t="shared" si="3"/>
        <v>1</v>
      </c>
      <c r="DG37" s="21">
        <f t="shared" si="3"/>
        <v>9</v>
      </c>
      <c r="DH37" s="21">
        <f t="shared" si="3"/>
        <v>3</v>
      </c>
      <c r="DI37" s="21">
        <f t="shared" si="3"/>
        <v>0</v>
      </c>
      <c r="DJ37" s="21">
        <f t="shared" si="3"/>
        <v>0</v>
      </c>
      <c r="DK37" s="21">
        <f t="shared" si="3"/>
        <v>1</v>
      </c>
      <c r="DL37" s="21">
        <f t="shared" si="3"/>
        <v>0</v>
      </c>
      <c r="DM37" s="21">
        <f t="shared" si="3"/>
        <v>1</v>
      </c>
      <c r="DN37" s="21">
        <f t="shared" si="3"/>
        <v>0</v>
      </c>
      <c r="DO37" s="21">
        <f t="shared" si="3"/>
        <v>2</v>
      </c>
      <c r="DP37" s="21">
        <f t="shared" si="3"/>
        <v>0</v>
      </c>
      <c r="DQ37" s="21">
        <f t="shared" si="3"/>
        <v>0</v>
      </c>
      <c r="DR37" s="21">
        <f t="shared" si="3"/>
        <v>0</v>
      </c>
      <c r="DS37" s="21">
        <f t="shared" si="3"/>
        <v>11</v>
      </c>
      <c r="DT37" s="21">
        <f t="shared" si="3"/>
        <v>8</v>
      </c>
      <c r="DU37" s="21">
        <f t="shared" si="3"/>
        <v>0</v>
      </c>
      <c r="DV37" s="21">
        <f t="shared" si="3"/>
        <v>0</v>
      </c>
      <c r="DW37" s="21">
        <f t="shared" si="3"/>
        <v>31</v>
      </c>
      <c r="DX37" s="21">
        <f t="shared" si="3"/>
        <v>0</v>
      </c>
      <c r="DY37" s="21">
        <f t="shared" si="3"/>
        <v>10</v>
      </c>
      <c r="DZ37" s="21">
        <f t="shared" si="3"/>
        <v>2</v>
      </c>
      <c r="EA37" s="21">
        <f t="shared" si="3"/>
        <v>1</v>
      </c>
      <c r="EB37" s="21">
        <f t="shared" si="3"/>
        <v>0</v>
      </c>
      <c r="EC37" s="21">
        <f t="shared" si="3"/>
        <v>0</v>
      </c>
      <c r="ED37" s="21">
        <f t="shared" si="3"/>
        <v>0</v>
      </c>
      <c r="EE37" s="21">
        <f t="shared" si="3"/>
        <v>0</v>
      </c>
      <c r="EF37" s="21">
        <f t="shared" si="3"/>
        <v>0</v>
      </c>
      <c r="EG37" s="21">
        <f t="shared" ref="EG37:EO37" si="4">SUM(EG3:EG36)</f>
        <v>3</v>
      </c>
      <c r="EH37" s="21">
        <f t="shared" si="4"/>
        <v>1</v>
      </c>
      <c r="EI37" s="21">
        <f t="shared" si="4"/>
        <v>4</v>
      </c>
      <c r="EJ37" s="21">
        <f t="shared" si="4"/>
        <v>2</v>
      </c>
      <c r="EK37" s="21">
        <f t="shared" si="4"/>
        <v>0</v>
      </c>
      <c r="EL37" s="21">
        <f t="shared" si="4"/>
        <v>0</v>
      </c>
      <c r="EM37" s="21">
        <f t="shared" si="4"/>
        <v>0</v>
      </c>
      <c r="EN37" s="21">
        <f t="shared" si="4"/>
        <v>0</v>
      </c>
      <c r="EO37" s="21">
        <f t="shared" si="4"/>
        <v>0</v>
      </c>
    </row>
    <row r="38" spans="1:145" ht="17" thickTop="1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BC0F-96A4-054A-AD41-66047E03668C}">
  <dimension ref="A1:J35"/>
  <sheetViews>
    <sheetView workbookViewId="0">
      <selection activeCell="C18" sqref="C18"/>
    </sheetView>
  </sheetViews>
  <sheetFormatPr baseColWidth="10" defaultColWidth="11" defaultRowHeight="16"/>
  <cols>
    <col min="1" max="1" width="14.1640625" customWidth="1"/>
    <col min="2" max="2" width="24.5" customWidth="1"/>
    <col min="3" max="3" width="43.33203125" customWidth="1"/>
    <col min="4" max="4" width="59.5" customWidth="1"/>
    <col min="5" max="5" width="21.5" customWidth="1"/>
    <col min="6" max="6" width="14.83203125" customWidth="1"/>
    <col min="7" max="7" width="43.1640625" customWidth="1"/>
    <col min="8" max="8" width="32.1640625" customWidth="1"/>
    <col min="9" max="9" width="44" customWidth="1"/>
  </cols>
  <sheetData>
    <row r="1" spans="1:10">
      <c r="A1" s="1" t="s">
        <v>1</v>
      </c>
      <c r="B1" s="1" t="s">
        <v>2</v>
      </c>
      <c r="C1" s="1" t="s">
        <v>3</v>
      </c>
      <c r="D1" s="6" t="s">
        <v>306</v>
      </c>
      <c r="E1" s="6" t="s">
        <v>307</v>
      </c>
      <c r="F1" s="6" t="s">
        <v>308</v>
      </c>
      <c r="G1" s="6" t="s">
        <v>309</v>
      </c>
      <c r="H1" s="6" t="s">
        <v>310</v>
      </c>
      <c r="I1" s="6" t="s">
        <v>311</v>
      </c>
    </row>
    <row r="3" spans="1:10">
      <c r="A3" s="8">
        <v>45597</v>
      </c>
      <c r="B3" s="4"/>
      <c r="C3" s="4"/>
    </row>
    <row r="5" spans="1:10">
      <c r="A5" t="s">
        <v>169</v>
      </c>
      <c r="B5" t="s">
        <v>170</v>
      </c>
      <c r="C5" t="s">
        <v>171</v>
      </c>
      <c r="D5" t="s">
        <v>312</v>
      </c>
      <c r="E5">
        <v>2</v>
      </c>
      <c r="F5">
        <v>1</v>
      </c>
      <c r="G5" t="s">
        <v>313</v>
      </c>
      <c r="H5" t="s">
        <v>198</v>
      </c>
      <c r="I5" t="s">
        <v>198</v>
      </c>
    </row>
    <row r="6" spans="1:10">
      <c r="A6" t="s">
        <v>174</v>
      </c>
      <c r="B6" t="s">
        <v>175</v>
      </c>
      <c r="C6" t="s">
        <v>176</v>
      </c>
      <c r="D6" t="s">
        <v>198</v>
      </c>
      <c r="E6">
        <v>4</v>
      </c>
      <c r="F6">
        <v>0</v>
      </c>
      <c r="G6" t="s">
        <v>198</v>
      </c>
      <c r="H6" t="s">
        <v>198</v>
      </c>
      <c r="I6" t="s">
        <v>198</v>
      </c>
    </row>
    <row r="7" spans="1:10">
      <c r="A7" t="s">
        <v>180</v>
      </c>
      <c r="B7" t="s">
        <v>181</v>
      </c>
      <c r="C7" t="s">
        <v>182</v>
      </c>
      <c r="D7" t="s">
        <v>198</v>
      </c>
      <c r="E7">
        <v>3</v>
      </c>
      <c r="F7">
        <v>0</v>
      </c>
      <c r="G7" t="s">
        <v>314</v>
      </c>
      <c r="H7" t="s">
        <v>315</v>
      </c>
      <c r="I7" t="s">
        <v>198</v>
      </c>
    </row>
    <row r="8" spans="1:10">
      <c r="A8" s="17" t="s">
        <v>185</v>
      </c>
      <c r="B8" s="17" t="s">
        <v>181</v>
      </c>
      <c r="C8" s="17" t="s">
        <v>182</v>
      </c>
      <c r="D8" s="17" t="s">
        <v>198</v>
      </c>
      <c r="E8">
        <v>3</v>
      </c>
      <c r="F8">
        <v>0</v>
      </c>
      <c r="G8" s="17" t="s">
        <v>198</v>
      </c>
      <c r="H8" s="17" t="s">
        <v>198</v>
      </c>
      <c r="I8" s="17" t="s">
        <v>198</v>
      </c>
    </row>
    <row r="9" spans="1:10">
      <c r="A9" t="s">
        <v>188</v>
      </c>
      <c r="B9" t="s">
        <v>189</v>
      </c>
      <c r="C9" t="s">
        <v>190</v>
      </c>
      <c r="D9" t="s">
        <v>198</v>
      </c>
      <c r="E9">
        <v>3</v>
      </c>
      <c r="F9">
        <v>0</v>
      </c>
      <c r="G9" t="s">
        <v>198</v>
      </c>
      <c r="H9" t="s">
        <v>198</v>
      </c>
      <c r="I9" t="s">
        <v>198</v>
      </c>
    </row>
    <row r="10" spans="1:10">
      <c r="A10" s="17" t="s">
        <v>193</v>
      </c>
      <c r="B10" s="17" t="s">
        <v>189</v>
      </c>
      <c r="C10" s="17" t="s">
        <v>190</v>
      </c>
      <c r="D10" s="17" t="s">
        <v>198</v>
      </c>
      <c r="E10">
        <v>3</v>
      </c>
      <c r="F10">
        <v>0</v>
      </c>
      <c r="G10" s="17" t="s">
        <v>198</v>
      </c>
      <c r="H10" s="17" t="s">
        <v>198</v>
      </c>
      <c r="I10" s="17" t="s">
        <v>198</v>
      </c>
    </row>
    <row r="11" spans="1:10">
      <c r="A11" s="17" t="s">
        <v>196</v>
      </c>
      <c r="B11" s="17" t="s">
        <v>175</v>
      </c>
      <c r="C11" s="17" t="s">
        <v>176</v>
      </c>
      <c r="D11" s="17" t="s">
        <v>198</v>
      </c>
      <c r="E11">
        <v>2</v>
      </c>
      <c r="F11" s="17">
        <v>0</v>
      </c>
      <c r="G11" s="17" t="s">
        <v>198</v>
      </c>
      <c r="H11" s="17" t="s">
        <v>198</v>
      </c>
      <c r="I11" s="17" t="s">
        <v>198</v>
      </c>
    </row>
    <row r="12" spans="1:10">
      <c r="A12" s="24" t="s">
        <v>199</v>
      </c>
      <c r="B12" s="17" t="s">
        <v>200</v>
      </c>
      <c r="C12" s="17" t="s">
        <v>201</v>
      </c>
      <c r="D12" s="17" t="s">
        <v>198</v>
      </c>
      <c r="E12">
        <v>2</v>
      </c>
      <c r="F12">
        <v>0</v>
      </c>
      <c r="G12" s="17" t="s">
        <v>198</v>
      </c>
      <c r="H12" s="17" t="s">
        <v>198</v>
      </c>
      <c r="I12" s="17" t="s">
        <v>198</v>
      </c>
      <c r="J12" s="17"/>
    </row>
    <row r="13" spans="1:10">
      <c r="A13" s="17" t="s">
        <v>202</v>
      </c>
      <c r="B13" s="17" t="s">
        <v>203</v>
      </c>
      <c r="C13" s="17" t="s">
        <v>204</v>
      </c>
      <c r="D13" s="17" t="s">
        <v>316</v>
      </c>
      <c r="E13">
        <v>4</v>
      </c>
      <c r="F13" s="25">
        <v>1</v>
      </c>
      <c r="G13" s="17" t="s">
        <v>198</v>
      </c>
      <c r="H13" s="17" t="s">
        <v>198</v>
      </c>
      <c r="I13" s="17" t="s">
        <v>198</v>
      </c>
    </row>
    <row r="14" spans="1:10">
      <c r="A14" s="17" t="s">
        <v>207</v>
      </c>
      <c r="B14" s="17" t="s">
        <v>208</v>
      </c>
      <c r="C14" s="17" t="s">
        <v>209</v>
      </c>
      <c r="D14" s="17" t="s">
        <v>317</v>
      </c>
      <c r="E14">
        <v>2</v>
      </c>
      <c r="F14">
        <v>0</v>
      </c>
      <c r="G14" s="17" t="s">
        <v>198</v>
      </c>
      <c r="H14" s="17" t="s">
        <v>198</v>
      </c>
      <c r="I14" s="17" t="s">
        <v>198</v>
      </c>
    </row>
    <row r="15" spans="1:10">
      <c r="A15" s="17" t="s">
        <v>212</v>
      </c>
      <c r="B15" s="17" t="s">
        <v>208</v>
      </c>
      <c r="C15" s="17" t="s">
        <v>209</v>
      </c>
      <c r="D15" s="17" t="s">
        <v>198</v>
      </c>
      <c r="E15">
        <v>2</v>
      </c>
      <c r="F15">
        <v>1</v>
      </c>
      <c r="G15" s="17" t="s">
        <v>198</v>
      </c>
      <c r="H15" s="17" t="s">
        <v>198</v>
      </c>
      <c r="I15" s="17" t="s">
        <v>198</v>
      </c>
    </row>
    <row r="16" spans="1:10">
      <c r="A16" s="17" t="s">
        <v>215</v>
      </c>
      <c r="B16" s="17" t="s">
        <v>216</v>
      </c>
      <c r="C16" s="17" t="s">
        <v>217</v>
      </c>
      <c r="D16" s="17" t="s">
        <v>198</v>
      </c>
      <c r="E16">
        <v>2</v>
      </c>
      <c r="F16">
        <v>0</v>
      </c>
      <c r="G16" s="17" t="s">
        <v>198</v>
      </c>
      <c r="H16" s="17" t="s">
        <v>318</v>
      </c>
      <c r="I16" s="17" t="s">
        <v>198</v>
      </c>
    </row>
    <row r="17" spans="1:9">
      <c r="A17" s="17" t="s">
        <v>220</v>
      </c>
      <c r="B17" s="17" t="s">
        <v>221</v>
      </c>
      <c r="C17" s="17" t="s">
        <v>222</v>
      </c>
      <c r="D17" s="17" t="s">
        <v>319</v>
      </c>
      <c r="E17">
        <v>3</v>
      </c>
      <c r="F17">
        <v>0</v>
      </c>
      <c r="G17" s="17" t="s">
        <v>198</v>
      </c>
      <c r="H17" s="17" t="s">
        <v>198</v>
      </c>
      <c r="I17" s="17" t="s">
        <v>198</v>
      </c>
    </row>
    <row r="18" spans="1:9">
      <c r="A18" s="17" t="s">
        <v>223</v>
      </c>
      <c r="B18" s="17" t="s">
        <v>221</v>
      </c>
      <c r="C18" s="17" t="s">
        <v>222</v>
      </c>
      <c r="D18" s="17" t="s">
        <v>198</v>
      </c>
      <c r="E18">
        <v>2</v>
      </c>
      <c r="F18">
        <v>0</v>
      </c>
      <c r="G18" s="17" t="s">
        <v>198</v>
      </c>
      <c r="H18" s="17" t="s">
        <v>198</v>
      </c>
      <c r="I18" s="17" t="s">
        <v>198</v>
      </c>
    </row>
    <row r="19" spans="1:9">
      <c r="A19" t="s">
        <v>226</v>
      </c>
      <c r="B19" t="s">
        <v>227</v>
      </c>
      <c r="C19" t="s">
        <v>228</v>
      </c>
      <c r="D19" s="17" t="s">
        <v>320</v>
      </c>
      <c r="E19">
        <v>6</v>
      </c>
      <c r="F19">
        <v>0</v>
      </c>
      <c r="G19" s="17" t="s">
        <v>198</v>
      </c>
      <c r="H19" s="17" t="s">
        <v>198</v>
      </c>
      <c r="I19" s="17" t="s">
        <v>198</v>
      </c>
    </row>
    <row r="20" spans="1:9">
      <c r="A20" t="s">
        <v>231</v>
      </c>
      <c r="B20" t="s">
        <v>227</v>
      </c>
      <c r="C20" t="s">
        <v>228</v>
      </c>
      <c r="D20" s="17" t="s">
        <v>320</v>
      </c>
      <c r="E20">
        <v>6</v>
      </c>
      <c r="F20">
        <v>0</v>
      </c>
      <c r="G20" s="17" t="s">
        <v>198</v>
      </c>
      <c r="H20" s="17" t="s">
        <v>198</v>
      </c>
      <c r="I20" s="17" t="s">
        <v>198</v>
      </c>
    </row>
    <row r="21" spans="1:9">
      <c r="A21" s="17" t="s">
        <v>232</v>
      </c>
      <c r="B21" s="17" t="s">
        <v>233</v>
      </c>
      <c r="C21" s="17" t="s">
        <v>234</v>
      </c>
      <c r="D21" s="17" t="s">
        <v>198</v>
      </c>
      <c r="E21">
        <v>4</v>
      </c>
      <c r="F21">
        <v>1</v>
      </c>
      <c r="G21" s="17" t="s">
        <v>198</v>
      </c>
      <c r="H21" s="17" t="s">
        <v>321</v>
      </c>
      <c r="I21" s="17" t="s">
        <v>198</v>
      </c>
    </row>
    <row r="22" spans="1:9">
      <c r="A22" s="17"/>
      <c r="B22" s="17"/>
      <c r="C22" s="17"/>
      <c r="D22" s="17"/>
      <c r="G22" s="17"/>
      <c r="H22" s="17"/>
      <c r="I22" s="17"/>
    </row>
    <row r="23" spans="1:9">
      <c r="A23" s="17" t="s">
        <v>237</v>
      </c>
      <c r="B23" s="17" t="s">
        <v>322</v>
      </c>
      <c r="C23" s="17" t="s">
        <v>323</v>
      </c>
      <c r="D23" s="17" t="s">
        <v>198</v>
      </c>
      <c r="E23">
        <v>3</v>
      </c>
      <c r="F23">
        <v>0</v>
      </c>
      <c r="G23" s="17" t="s">
        <v>198</v>
      </c>
      <c r="H23" s="17" t="s">
        <v>198</v>
      </c>
      <c r="I23" s="17" t="s">
        <v>198</v>
      </c>
    </row>
    <row r="24" spans="1:9">
      <c r="A24" t="s">
        <v>242</v>
      </c>
      <c r="B24" t="s">
        <v>243</v>
      </c>
      <c r="C24" t="s">
        <v>244</v>
      </c>
      <c r="D24" s="17" t="s">
        <v>198</v>
      </c>
      <c r="E24">
        <v>3</v>
      </c>
      <c r="F24">
        <v>1</v>
      </c>
      <c r="G24" s="17" t="s">
        <v>313</v>
      </c>
      <c r="H24" s="17" t="s">
        <v>198</v>
      </c>
      <c r="I24" s="17" t="s">
        <v>198</v>
      </c>
    </row>
    <row r="25" spans="1:9">
      <c r="A25" s="17" t="s">
        <v>336</v>
      </c>
      <c r="B25" s="17" t="s">
        <v>333</v>
      </c>
      <c r="C25" s="17" t="s">
        <v>341</v>
      </c>
      <c r="D25" s="17" t="s">
        <v>198</v>
      </c>
      <c r="E25">
        <v>2</v>
      </c>
      <c r="F25">
        <v>0</v>
      </c>
      <c r="G25" s="17" t="s">
        <v>198</v>
      </c>
      <c r="H25" s="17" t="s">
        <v>198</v>
      </c>
      <c r="I25" s="17" t="s">
        <v>198</v>
      </c>
    </row>
    <row r="26" spans="1:9">
      <c r="A26" s="17" t="s">
        <v>342</v>
      </c>
      <c r="B26" s="17" t="s">
        <v>333</v>
      </c>
      <c r="C26" s="17" t="s">
        <v>341</v>
      </c>
      <c r="D26" s="17" t="s">
        <v>198</v>
      </c>
      <c r="E26">
        <v>3</v>
      </c>
      <c r="F26">
        <v>0</v>
      </c>
      <c r="G26" s="17" t="s">
        <v>198</v>
      </c>
      <c r="H26" s="17" t="s">
        <v>198</v>
      </c>
      <c r="I26" s="17" t="s">
        <v>198</v>
      </c>
    </row>
    <row r="27" spans="1:9">
      <c r="A27" s="34" t="s">
        <v>361</v>
      </c>
      <c r="B27" s="35" t="s">
        <v>243</v>
      </c>
      <c r="C27" s="35" t="s">
        <v>244</v>
      </c>
      <c r="D27" s="17" t="s">
        <v>198</v>
      </c>
      <c r="E27">
        <v>3</v>
      </c>
      <c r="F27">
        <v>0</v>
      </c>
      <c r="G27" s="17" t="s">
        <v>198</v>
      </c>
      <c r="H27" s="17" t="s">
        <v>198</v>
      </c>
      <c r="I27" s="17" t="s">
        <v>198</v>
      </c>
    </row>
    <row r="28" spans="1:9">
      <c r="A28" t="s">
        <v>246</v>
      </c>
      <c r="B28" t="s">
        <v>324</v>
      </c>
      <c r="C28" t="s">
        <v>248</v>
      </c>
      <c r="D28" t="s">
        <v>325</v>
      </c>
      <c r="E28">
        <v>3</v>
      </c>
      <c r="F28">
        <v>0</v>
      </c>
      <c r="G28" t="s">
        <v>325</v>
      </c>
      <c r="H28" t="s">
        <v>325</v>
      </c>
      <c r="I28" t="s">
        <v>325</v>
      </c>
    </row>
    <row r="29" spans="1:9">
      <c r="A29" t="s">
        <v>252</v>
      </c>
      <c r="B29" t="s">
        <v>253</v>
      </c>
      <c r="C29" t="s">
        <v>326</v>
      </c>
      <c r="D29" t="s">
        <v>325</v>
      </c>
      <c r="E29">
        <v>6</v>
      </c>
      <c r="F29">
        <v>0</v>
      </c>
      <c r="G29" t="s">
        <v>325</v>
      </c>
      <c r="H29" t="s">
        <v>325</v>
      </c>
      <c r="I29" t="s">
        <v>325</v>
      </c>
    </row>
    <row r="32" spans="1:9" ht="17" thickBot="1">
      <c r="E32" s="21">
        <f>SUM(E2:E31)</f>
        <v>76</v>
      </c>
      <c r="F32" s="21">
        <f>SUM(F2:F31)</f>
        <v>5</v>
      </c>
    </row>
    <row r="33" spans="6:6" ht="17" thickTop="1"/>
    <row r="35" spans="6:6">
      <c r="F35" s="25" t="s">
        <v>327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ADW Sept- Dec 2024 spread sheet</vt:lpstr>
      <vt:lpstr>ADW Sept-Dec Parent Nationality</vt:lpstr>
      <vt:lpstr>ADW Sept - Dec 2024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Sari Sari</dc:creator>
  <cp:keywords/>
  <dc:description/>
  <cp:lastModifiedBy>Sari Sari</cp:lastModifiedBy>
  <cp:revision/>
  <dcterms:created xsi:type="dcterms:W3CDTF">2024-06-10T12:03:57Z</dcterms:created>
  <dcterms:modified xsi:type="dcterms:W3CDTF">2025-11-17T13:06:49Z</dcterms:modified>
  <cp:category/>
  <cp:contentStatus/>
</cp:coreProperties>
</file>