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i1/Desktop/SARI 2024/AD Workshop 2024/ADW J-J 2024 /"/>
    </mc:Choice>
  </mc:AlternateContent>
  <xr:revisionPtr revIDLastSave="0" documentId="13_ncr:1_{6AA4FA19-B662-4D4D-81DB-889124880CED}" xr6:coauthVersionLast="36" xr6:coauthVersionMax="36" xr10:uidLastSave="{00000000-0000-0000-0000-000000000000}"/>
  <bookViews>
    <workbookView xWindow="480" yWindow="580" windowWidth="28800" windowHeight="16260" xr2:uid="{BAD6C78C-E16A-8641-99DB-BB2CB12EE794}"/>
  </bookViews>
  <sheets>
    <sheet name="ADW J-J 2024 spread sheet" sheetId="1" r:id="rId1"/>
    <sheet name="ADW J-J 2024 Parent Nationality" sheetId="2" r:id="rId2"/>
    <sheet name="ADW J-J 2024 Not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A28" i="2" l="1"/>
  <c r="EB28" i="2"/>
  <c r="EC28" i="2"/>
  <c r="ED28" i="2"/>
  <c r="EE28" i="2"/>
  <c r="EF28" i="2"/>
  <c r="EG28" i="2"/>
  <c r="EH28" i="2"/>
  <c r="EI28" i="2"/>
  <c r="EJ28" i="2"/>
  <c r="EK28" i="2"/>
  <c r="EL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FW34" i="1"/>
  <c r="FX34" i="1"/>
  <c r="FY34" i="1"/>
  <c r="FZ34" i="1"/>
  <c r="GA34" i="1"/>
  <c r="GB34" i="1"/>
  <c r="GC34" i="1"/>
  <c r="GD34" i="1"/>
  <c r="GE34" i="1"/>
  <c r="GF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DE34" i="1"/>
  <c r="DF34" i="1"/>
  <c r="DG34" i="1"/>
  <c r="DH34" i="1"/>
  <c r="DI34" i="1"/>
  <c r="DJ34" i="1"/>
  <c r="DK34" i="1"/>
  <c r="DL34" i="1"/>
  <c r="DM34" i="1"/>
  <c r="DN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AU34" i="1"/>
  <c r="AP34" i="1"/>
  <c r="AQ34" i="1"/>
  <c r="AR34" i="1"/>
  <c r="AS34" i="1"/>
  <c r="AT34" i="1"/>
  <c r="AN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V34" i="1"/>
  <c r="W34" i="1"/>
  <c r="X34" i="1"/>
  <c r="Y34" i="1"/>
  <c r="Z34" i="1"/>
  <c r="S34" i="1"/>
  <c r="T34" i="1"/>
  <c r="P34" i="1"/>
  <c r="M34" i="1"/>
  <c r="N34" i="1"/>
  <c r="O34" i="1"/>
  <c r="K34" i="1"/>
  <c r="E34" i="1"/>
  <c r="F34" i="1"/>
  <c r="G34" i="1"/>
  <c r="H34" i="1"/>
  <c r="I34" i="1"/>
</calcChain>
</file>

<file path=xl/sharedStrings.xml><?xml version="1.0" encoding="utf-8"?>
<sst xmlns="http://schemas.openxmlformats.org/spreadsheetml/2006/main" count="731" uniqueCount="343">
  <si>
    <t>Ques.Reference</t>
  </si>
  <si>
    <t>Date</t>
  </si>
  <si>
    <t>Name of School</t>
  </si>
  <si>
    <t>Location</t>
  </si>
  <si>
    <t>No. Sessions</t>
  </si>
  <si>
    <t>Leinster</t>
  </si>
  <si>
    <t>Munster</t>
  </si>
  <si>
    <t>Connacht </t>
  </si>
  <si>
    <t>Ulster</t>
  </si>
  <si>
    <t>No. Participants</t>
  </si>
  <si>
    <t>Gender</t>
  </si>
  <si>
    <t>Coaches</t>
  </si>
  <si>
    <t>Feedback Received</t>
  </si>
  <si>
    <t>Number received</t>
  </si>
  <si>
    <t>Teacher Received</t>
  </si>
  <si>
    <t>Ages</t>
  </si>
  <si>
    <t>Very Much Enjoy</t>
  </si>
  <si>
    <t>Quite Enjoyed</t>
  </si>
  <si>
    <t>Somewhat Enjoyed</t>
  </si>
  <si>
    <t>Did not Enjoy</t>
  </si>
  <si>
    <t>None</t>
  </si>
  <si>
    <t>Check</t>
  </si>
  <si>
    <t>Nationalities European</t>
  </si>
  <si>
    <t>Ireland</t>
  </si>
  <si>
    <t>Northern Ireland</t>
  </si>
  <si>
    <t>Cyprus</t>
  </si>
  <si>
    <t>Poland</t>
  </si>
  <si>
    <t>Scotland</t>
  </si>
  <si>
    <t>Bosnia Her</t>
  </si>
  <si>
    <t>Iceland</t>
  </si>
  <si>
    <t>Lithuania</t>
  </si>
  <si>
    <t>Hungary</t>
  </si>
  <si>
    <t>Germany</t>
  </si>
  <si>
    <t>Georgia</t>
  </si>
  <si>
    <t>UK</t>
  </si>
  <si>
    <t>Bulgaria</t>
  </si>
  <si>
    <t>Belgium</t>
  </si>
  <si>
    <t>Italy</t>
  </si>
  <si>
    <t>Serbia</t>
  </si>
  <si>
    <t>Latvia</t>
  </si>
  <si>
    <t>Macedonia</t>
  </si>
  <si>
    <t>Romania</t>
  </si>
  <si>
    <t>Ukraine</t>
  </si>
  <si>
    <t>Greece</t>
  </si>
  <si>
    <t>Netherlands</t>
  </si>
  <si>
    <t>Spain</t>
  </si>
  <si>
    <t>Slovakia</t>
  </si>
  <si>
    <t>France</t>
  </si>
  <si>
    <t>Portugal</t>
  </si>
  <si>
    <t>Wales</t>
  </si>
  <si>
    <t>Finland</t>
  </si>
  <si>
    <t>Belarus</t>
  </si>
  <si>
    <t>Denmark</t>
  </si>
  <si>
    <t>Malta</t>
  </si>
  <si>
    <t>Maldova</t>
  </si>
  <si>
    <t>Sweden</t>
  </si>
  <si>
    <t>Estonia</t>
  </si>
  <si>
    <t>Armenia</t>
  </si>
  <si>
    <t>Albania</t>
  </si>
  <si>
    <t>Czech Republic</t>
  </si>
  <si>
    <t>Croatia</t>
  </si>
  <si>
    <t>Switzerland</t>
  </si>
  <si>
    <t>Norway</t>
  </si>
  <si>
    <t>Slovenia</t>
  </si>
  <si>
    <t>Botswana</t>
  </si>
  <si>
    <t>Ethiopia</t>
  </si>
  <si>
    <t>DRC</t>
  </si>
  <si>
    <t>Ghana</t>
  </si>
  <si>
    <t>Senegal</t>
  </si>
  <si>
    <t>Cameroon</t>
  </si>
  <si>
    <t>Nigeria</t>
  </si>
  <si>
    <t>Congo</t>
  </si>
  <si>
    <t>Somalia</t>
  </si>
  <si>
    <t>Eritrea</t>
  </si>
  <si>
    <t>Syria</t>
  </si>
  <si>
    <t>South Africa</t>
  </si>
  <si>
    <t>Zimbabwe</t>
  </si>
  <si>
    <t>Mozambique</t>
  </si>
  <si>
    <t>Mauritius</t>
  </si>
  <si>
    <t>Mongolia</t>
  </si>
  <si>
    <t>Bolivia</t>
  </si>
  <si>
    <t>Palestine</t>
  </si>
  <si>
    <t>Marocco</t>
  </si>
  <si>
    <t>Sudan</t>
  </si>
  <si>
    <t>Angola</t>
  </si>
  <si>
    <t>Zambia</t>
  </si>
  <si>
    <t>Egypt</t>
  </si>
  <si>
    <t>Algeria</t>
  </si>
  <si>
    <t>Libya</t>
  </si>
  <si>
    <t>East Africa</t>
  </si>
  <si>
    <t>Iran</t>
  </si>
  <si>
    <t>Dubai(UAE)</t>
  </si>
  <si>
    <t>Iraq</t>
  </si>
  <si>
    <t>Saudi Arabia</t>
  </si>
  <si>
    <t>Turkey</t>
  </si>
  <si>
    <t>Liberia</t>
  </si>
  <si>
    <t>Lebanon</t>
  </si>
  <si>
    <t>Guinea</t>
  </si>
  <si>
    <t>Lesotho</t>
  </si>
  <si>
    <t>Malawi</t>
  </si>
  <si>
    <t>Kenya</t>
  </si>
  <si>
    <t>Mali</t>
  </si>
  <si>
    <t>Benin</t>
  </si>
  <si>
    <t>Ivory Coast</t>
  </si>
  <si>
    <t>Tanzania</t>
  </si>
  <si>
    <t>Togo</t>
  </si>
  <si>
    <t>Tunisia</t>
  </si>
  <si>
    <t>Israel</t>
  </si>
  <si>
    <t>Omen</t>
  </si>
  <si>
    <t>Yemen</t>
  </si>
  <si>
    <t>Jordan</t>
  </si>
  <si>
    <t>Kuwait</t>
  </si>
  <si>
    <t>Uganda</t>
  </si>
  <si>
    <t>Sierra Leone</t>
  </si>
  <si>
    <t>Ecuador</t>
  </si>
  <si>
    <t>Argentina</t>
  </si>
  <si>
    <t>Uruguay</t>
  </si>
  <si>
    <t>Mexico</t>
  </si>
  <si>
    <t>Peru</t>
  </si>
  <si>
    <t>Brazil</t>
  </si>
  <si>
    <t>Columbia</t>
  </si>
  <si>
    <t>Chile</t>
  </si>
  <si>
    <t>USA</t>
  </si>
  <si>
    <t>Canada</t>
  </si>
  <si>
    <t>Jamaica</t>
  </si>
  <si>
    <t>Venezuela</t>
  </si>
  <si>
    <t>Costa Rica</t>
  </si>
  <si>
    <t>Hawai</t>
  </si>
  <si>
    <t>Guatamela</t>
  </si>
  <si>
    <t>Singapore</t>
  </si>
  <si>
    <t>Thailand</t>
  </si>
  <si>
    <t>Vietnam</t>
  </si>
  <si>
    <t>Cambodia</t>
  </si>
  <si>
    <t>Japan</t>
  </si>
  <si>
    <t>Phillipines</t>
  </si>
  <si>
    <t>China</t>
  </si>
  <si>
    <t>South Korea</t>
  </si>
  <si>
    <t>India</t>
  </si>
  <si>
    <t>Afghanistan</t>
  </si>
  <si>
    <t>Pakistan</t>
  </si>
  <si>
    <t>Bangldesh</t>
  </si>
  <si>
    <t>Nepal</t>
  </si>
  <si>
    <t>Kazakhstan</t>
  </si>
  <si>
    <t>Qatar</t>
  </si>
  <si>
    <t>Indonasia</t>
  </si>
  <si>
    <t>Malaysia</t>
  </si>
  <si>
    <t>Russia</t>
  </si>
  <si>
    <t>Kurdistan</t>
  </si>
  <si>
    <t>Australia</t>
  </si>
  <si>
    <t>New Zealand</t>
  </si>
  <si>
    <t>Swaziland</t>
  </si>
  <si>
    <t>Barbados</t>
  </si>
  <si>
    <t>Azerbaijan</t>
  </si>
  <si>
    <t>Myanmar</t>
  </si>
  <si>
    <t>Uzbekistan</t>
  </si>
  <si>
    <t>Male</t>
  </si>
  <si>
    <t>Female</t>
  </si>
  <si>
    <t>Other</t>
  </si>
  <si>
    <t>No Gender</t>
  </si>
  <si>
    <t xml:space="preserve">                     No Age</t>
  </si>
  <si>
    <t>18/+</t>
  </si>
  <si>
    <t>Parent Nationalities</t>
  </si>
  <si>
    <t>Duabi(UAE)</t>
  </si>
  <si>
    <t>Indonesia</t>
  </si>
  <si>
    <t>General Notes</t>
  </si>
  <si>
    <t>Tecaher Notes</t>
  </si>
  <si>
    <t>Students Notes</t>
  </si>
  <si>
    <t>Discrimination Game</t>
  </si>
  <si>
    <t>Language Barrier</t>
  </si>
  <si>
    <t>19.02.2024</t>
  </si>
  <si>
    <t>Carrigtwohill CNS</t>
  </si>
  <si>
    <t>Station Rd, Terry's land, Carrigtwohill, Co.Cork</t>
  </si>
  <si>
    <t>Fayaaz, Melisa, Kerrie</t>
  </si>
  <si>
    <t>YES</t>
  </si>
  <si>
    <t>Ireland x59, Lithuania x2, Poland x2, Ukraine, Germany</t>
  </si>
  <si>
    <t>Non European Countries</t>
  </si>
  <si>
    <t>Nigeria, South Africa, India</t>
  </si>
  <si>
    <t>Hungary x2, Poland x7, Lithuania x2, England, Ukraine, Scotland, Germany x2, Wales, Netherlands,Portugal</t>
  </si>
  <si>
    <t>1 Autistic girl, 1 boy with ADHD</t>
  </si>
  <si>
    <t>…</t>
  </si>
  <si>
    <t>20.02.2024</t>
  </si>
  <si>
    <t>Ireland x57, Czech Republic x2, Ukraine, Romania</t>
  </si>
  <si>
    <t>Israel, India, Morocco x2, Pakistan</t>
  </si>
  <si>
    <t>Germany x4, Poland x14, Greece x2, Slovakia, Estonia, Ukraine, England x2, Portugal</t>
  </si>
  <si>
    <t>Nigeria, Malaysia, Barbados, Ethiopia, Pakistan x2, Congo, China</t>
  </si>
  <si>
    <t>08.03.2024</t>
  </si>
  <si>
    <t>St Kevin's CC</t>
  </si>
  <si>
    <t>Fonthill Rd, Clondalkin, Dublin 22</t>
  </si>
  <si>
    <t>Teo, Ismael, Kerrie</t>
  </si>
  <si>
    <t>Ireland x34, Ukraine, Georgia</t>
  </si>
  <si>
    <t>Nigeria x3, Pakistan, Bangladesh, India</t>
  </si>
  <si>
    <t>Poland x2, England, Portugal</t>
  </si>
  <si>
    <t>South Africa, Mexico</t>
  </si>
  <si>
    <t>3 Teacher</t>
  </si>
  <si>
    <t>3 Teacher + 2 SNA</t>
  </si>
  <si>
    <t>1 Girl sat out</t>
  </si>
  <si>
    <t>4.a, 4.b &amp; 4.c</t>
  </si>
  <si>
    <t>12.03.2024</t>
  </si>
  <si>
    <t>Killarney CC</t>
  </si>
  <si>
    <t>New Rd, Killarney, Co.Kerry</t>
  </si>
  <si>
    <t>Teo, Taha, Kerrie</t>
  </si>
  <si>
    <t>Ireland x53, Ukraine x2, Poland x2, Czech Republic, Latvia, Germany, Serbia</t>
  </si>
  <si>
    <t xml:space="preserve">Slovakia x2, England x7, Poland x7, Netherlands, Bulgaria, Norway, Scotland, Wales x2, </t>
  </si>
  <si>
    <t>Mauritius, Austalia, Russia</t>
  </si>
  <si>
    <t>3 Teacher + 1 SNA</t>
  </si>
  <si>
    <t>6 kids sat out but not for good reason</t>
  </si>
  <si>
    <t>6.a, 6.b &amp; 6.c</t>
  </si>
  <si>
    <t>09.04.2024</t>
  </si>
  <si>
    <t>Naas CBS</t>
  </si>
  <si>
    <t>Corbans Lane, Naas East, Naas, Co.Kildare</t>
  </si>
  <si>
    <t>Fayaaz, Teo, Kerrie</t>
  </si>
  <si>
    <t>5.a, 5.b &amp; 5.c</t>
  </si>
  <si>
    <t>Colaiste Phadraig CBS</t>
  </si>
  <si>
    <t>08.04.2024</t>
  </si>
  <si>
    <t>Roselawn, Lucan, Co.Dublin</t>
  </si>
  <si>
    <t>Philippines x2</t>
  </si>
  <si>
    <t>Poland x3, Spain, England x3, France, Estonia</t>
  </si>
  <si>
    <t>India, Brazil, Paraguay, USA, Bangladesh, Nigeria, Russia</t>
  </si>
  <si>
    <t>Paraguay</t>
  </si>
  <si>
    <t>Egypt, India</t>
  </si>
  <si>
    <t>England x2, Spain, Poland x2, France, Switzerland</t>
  </si>
  <si>
    <t>Russia, Canada, Nigeria x2, Philippines, India x2</t>
  </si>
  <si>
    <t>10.04.2024</t>
  </si>
  <si>
    <t>7.a, 7.b &amp; 7.c</t>
  </si>
  <si>
    <t>Ireland x74, Lithuania</t>
  </si>
  <si>
    <t>Argentina, USA, India, Philippines</t>
  </si>
  <si>
    <t>England x4, Spain, Latvia, Poland, France, Scotland</t>
  </si>
  <si>
    <t>Russia,Australia, Nigeria, Philippines</t>
  </si>
  <si>
    <t>8.a, 8.b &amp; 8.c</t>
  </si>
  <si>
    <t>11.04.2024</t>
  </si>
  <si>
    <t>CBS The Green</t>
  </si>
  <si>
    <t>Tralee, Co.Kerry</t>
  </si>
  <si>
    <t>Ireland x59, Lithuania, Ukraine x3, czech Republic, Kosovo, Italy x2, Poland, Spain</t>
  </si>
  <si>
    <t>USA, Syria, India, Zambia, Philippines</t>
  </si>
  <si>
    <t>Kosovo</t>
  </si>
  <si>
    <t>Ukraine, Poland x2, Latvia x2, England x6, Germany, Portugal, Czech Republic, Slovakia</t>
  </si>
  <si>
    <t>Ethiopia x3, Bangladesh, Nigeria</t>
  </si>
  <si>
    <t>8 boys from TY's</t>
  </si>
  <si>
    <t>12.04.2024</t>
  </si>
  <si>
    <t>Ireland x39, Iceland, Reomania, Moldova</t>
  </si>
  <si>
    <t>Kosovo x2, Spain, England x2, Poland, Scotland, Czech Republic</t>
  </si>
  <si>
    <t>USA, China, India, Ethiopia, Syria</t>
  </si>
  <si>
    <t>6 boys from TY's</t>
  </si>
  <si>
    <t>15.04.2024</t>
  </si>
  <si>
    <t>Millstreet CS</t>
  </si>
  <si>
    <t>Cooomlogane, Millstreet Town, Co.Cork</t>
  </si>
  <si>
    <t>Ireland x44, Ukraine x2, Poland, Latvia, England x2, Georgia</t>
  </si>
  <si>
    <t>Zimbabwe x3, South Africa x2, Bangladesh, Pakistan x2, Nigeria, Congo</t>
  </si>
  <si>
    <t>Poland x9, Latvia, England, Ukraine, Ireland x2</t>
  </si>
  <si>
    <t>5 students from TY's</t>
  </si>
  <si>
    <t>3 Teacher (1 FromPoland) + 1 SNA</t>
  </si>
  <si>
    <t>11.a &amp; 11.b</t>
  </si>
  <si>
    <t>16.04.2024</t>
  </si>
  <si>
    <t>Bishopstown CS</t>
  </si>
  <si>
    <t>Westgate Rd, Bishopstown, Cork</t>
  </si>
  <si>
    <t>Ireland x49, Ukraine x5, Spain x2, Poland x3, Germany, England</t>
  </si>
  <si>
    <t>Sudan, Iraq, Malaysia x2, Thailand, New Zealand, India, Nigeria, South Africa, UAE x2, Columbia, Russia</t>
  </si>
  <si>
    <t>Poland x3, Ireland x2, Spain, England x3, Albania, Turkey, Germany, Wales, Greece</t>
  </si>
  <si>
    <t>USA x2, Argentina, Mongolia, Philippines x2, Canada, Nigeria x2, Eritrea, Ethiopia, South Africa, Jordan, Trinidad and Tobago, Zambia, Russia</t>
  </si>
  <si>
    <t>Trinidad &amp; Tobago</t>
  </si>
  <si>
    <t>10 Teacher ( 1 from Italy, parents from USA + 7 SNA</t>
  </si>
  <si>
    <t>22.04.2024</t>
  </si>
  <si>
    <t>Clontrurk CC</t>
  </si>
  <si>
    <t>Sword Rd, Whitehall, Dublin</t>
  </si>
  <si>
    <t>Ireland x70, Hungary, France</t>
  </si>
  <si>
    <t>Ireland x70, Poland</t>
  </si>
  <si>
    <t>Ireland x67</t>
  </si>
  <si>
    <t>South Korea, Cambodia</t>
  </si>
  <si>
    <t>England x7, Germany x2, Poland x4, France, Romania, Italy x3, Spain, Lithuania</t>
  </si>
  <si>
    <t>USA, Brazil, Russia, Zambia, Congo, Thailand</t>
  </si>
  <si>
    <t>23.04.2024</t>
  </si>
  <si>
    <t>Ireland x71, Romania, Poland, Czech Republic</t>
  </si>
  <si>
    <t>China, Pakistan</t>
  </si>
  <si>
    <t>Spain x7, England x5, France x2, Wales, Lithuania, Germany, Italy, Northern Ireland, Romania</t>
  </si>
  <si>
    <t>USA x2, Jamaica, Australia, India, Canada, Columbia</t>
  </si>
  <si>
    <t>14.a, 14.b &amp; 14.c</t>
  </si>
  <si>
    <t>25.04.2024</t>
  </si>
  <si>
    <t>Kingswood CC</t>
  </si>
  <si>
    <t>Kingswood, Tallaght, Dublin</t>
  </si>
  <si>
    <t>Ireland x73, Ukraine</t>
  </si>
  <si>
    <t>USA, India</t>
  </si>
  <si>
    <t>England, Ireland x2, Lithuania, Poland, Spain</t>
  </si>
  <si>
    <t>Bangladesh, India, China, Libya, Ghana</t>
  </si>
  <si>
    <t>4 Teacher (1 teacher from Spain)</t>
  </si>
  <si>
    <t xml:space="preserve">1 girl sat out </t>
  </si>
  <si>
    <t>1 girl on crutches</t>
  </si>
  <si>
    <t>26.04.2024</t>
  </si>
  <si>
    <t>NO</t>
  </si>
  <si>
    <t>Ireland x 69</t>
  </si>
  <si>
    <t>China, Iraq</t>
  </si>
  <si>
    <t>England, Poland x5, Italy, Latvia, Ireland, Belarus, Ukraine, Bulgaria, Cyprus</t>
  </si>
  <si>
    <t>Nigeria, Sudan, Russia, Mauritius, Afghanistan, China, South Africa, India</t>
  </si>
  <si>
    <t>5 Teacher</t>
  </si>
  <si>
    <t>1 girl with Dyslexia</t>
  </si>
  <si>
    <t>16.a &amp; 16.b</t>
  </si>
  <si>
    <t>29.04.2024</t>
  </si>
  <si>
    <t>Togher GNS</t>
  </si>
  <si>
    <t>An Cochair Curcagh, Co.Cork</t>
  </si>
  <si>
    <t>Ireland x38, Italy x2, Spain, Poland, Wales, Romania</t>
  </si>
  <si>
    <t>Thailand, Pakistan, India x2, Australia, Kuwait</t>
  </si>
  <si>
    <t>Italy, Poland x7, Romania, Ireland x2, Albania</t>
  </si>
  <si>
    <t>Nigeria x3, Bngladesh, Somalia x2, India x2, DRC, Malaysia</t>
  </si>
  <si>
    <t>1 girl with Dyslexia &amp; 2 girl with Autism</t>
  </si>
  <si>
    <t>2 girl sat out</t>
  </si>
  <si>
    <t>30.04.2024</t>
  </si>
  <si>
    <t>St Aiden CC</t>
  </si>
  <si>
    <t>Dublin Hill, Cork</t>
  </si>
  <si>
    <t>Ireland x64, England, Spain, Poland</t>
  </si>
  <si>
    <t>Ethiopia, Philippines</t>
  </si>
  <si>
    <t>England x3, Hungary, Scotland, Poland x4, Albania, Irland, Romania</t>
  </si>
  <si>
    <t>Nigeria x2, South Africa, Somalia</t>
  </si>
  <si>
    <t>4 Teacher (1 teacher from England) &amp; 1 SNA</t>
  </si>
  <si>
    <t>18.a &amp; 18.b</t>
  </si>
  <si>
    <t>16.05.2024</t>
  </si>
  <si>
    <t>Powerstown ETNS</t>
  </si>
  <si>
    <t>Powerstown Rd, Tyrrelstrown, Dublin 15</t>
  </si>
  <si>
    <t>India x2, Kuwait, UAE, Pakistan, South Africa, Moldova, China</t>
  </si>
  <si>
    <t>Ireland x62, Ukraine, Romania x2, Hungary, Italy, England, Spain x2, Poland, Bulgaria</t>
  </si>
  <si>
    <t>2 boys &amp; 2 Girls sat out</t>
  </si>
  <si>
    <t>England x4, Romania x4, Poland x7, Turkey, Ukraine, Ireland x2, Lithuania x4, Latvia, Sloavkia, Hungary, France, Italy, Bulgaria, Belarus</t>
  </si>
  <si>
    <t>Pakistan x6, Libya x2, Sudan, China x2, Nigeria x3, Indonasia, Morocco, Mauritius, Philippines, Congo x2, Argentina, Japan, Moldova, Taiwan, Mexico</t>
  </si>
  <si>
    <t>Taiwan</t>
  </si>
  <si>
    <t>27.05.2024</t>
  </si>
  <si>
    <t>Curragh CC</t>
  </si>
  <si>
    <t>McSwiney Rd, Curragh, Co.Kildare</t>
  </si>
  <si>
    <t>Ireland x49, Poland, Ukraine, Italy</t>
  </si>
  <si>
    <t>Brazil, South Africa, Sri Lanka, Moldova, Zimbabwe</t>
  </si>
  <si>
    <t>Sri Lanka</t>
  </si>
  <si>
    <t>Scotland, Poland x6, England x3, Turkey, Malta</t>
  </si>
  <si>
    <t>Russia, Moldova, Nigeria x2, USA, South Africa, Ghana</t>
  </si>
  <si>
    <t>Some of the participant had already done the workshop in Kildare ETNS</t>
  </si>
  <si>
    <t>5 Teachers</t>
  </si>
  <si>
    <t>4 Teachers, 1 Sub teacher, 2 SNA</t>
  </si>
  <si>
    <t>09.06.2024</t>
  </si>
  <si>
    <t>St Brigid's GAC</t>
  </si>
  <si>
    <t>Belfast</t>
  </si>
  <si>
    <t>Fayaaz, Alannah, Kerrie</t>
  </si>
  <si>
    <t>Northern Ireland x52, Scotland</t>
  </si>
  <si>
    <t>England, scotland x2</t>
  </si>
  <si>
    <t>Mix age group</t>
  </si>
  <si>
    <t>5 Coaches/7 Parents</t>
  </si>
  <si>
    <t>European Countries</t>
  </si>
  <si>
    <t>Bishopstown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</si>
</sst>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2" fillId="0" borderId="0" xfId="0" applyFont="1"/>
    <xf numFmtId="0" fontId="1" fillId="0" borderId="0" xfId="0" applyFont="1" applyProtection="1">
      <protection locked="0"/>
    </xf>
    <xf numFmtId="17" fontId="1" fillId="0" borderId="0" xfId="0" applyNumberFormat="1" applyFont="1" applyAlignment="1" applyProtection="1">
      <alignment horizontal="left"/>
      <protection locked="0"/>
    </xf>
    <xf numFmtId="0" fontId="0" fillId="0" borderId="0" xfId="0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1" fillId="0" borderId="0" xfId="0" applyFont="1"/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/>
    <xf numFmtId="0" fontId="0" fillId="0" borderId="0" xfId="0" applyAlignment="1">
      <alignment horizontal="left"/>
    </xf>
    <xf numFmtId="0" fontId="2" fillId="2" borderId="0" xfId="0" applyFont="1" applyFill="1" applyProtection="1">
      <protection locked="0"/>
    </xf>
    <xf numFmtId="0" fontId="2" fillId="2" borderId="0" xfId="0" applyFont="1" applyFill="1"/>
    <xf numFmtId="17" fontId="1" fillId="0" borderId="0" xfId="0" applyNumberFormat="1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Font="1"/>
    <xf numFmtId="0" fontId="0" fillId="0" borderId="1" xfId="0" applyBorder="1" applyAlignment="1"/>
    <xf numFmtId="0" fontId="0" fillId="0" borderId="1" xfId="0" applyBorder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E59F-30D4-4C4D-9DF5-D4DEF003D6AD}">
  <dimension ref="A1:GI38"/>
  <sheetViews>
    <sheetView tabSelected="1" zoomScale="125" workbookViewId="0">
      <selection activeCell="D21" sqref="D21"/>
    </sheetView>
  </sheetViews>
  <sheetFormatPr baseColWidth="10" defaultRowHeight="16" x14ac:dyDescent="0.2"/>
  <cols>
    <col min="1" max="1" width="14.5" style="18" customWidth="1"/>
    <col min="2" max="2" width="15.1640625" customWidth="1"/>
    <col min="3" max="3" width="31.5" customWidth="1"/>
    <col min="4" max="4" width="40.33203125" customWidth="1"/>
    <col min="5" max="5" width="13.6640625" customWidth="1"/>
    <col min="6" max="6" width="9.33203125" customWidth="1"/>
    <col min="7" max="7" width="8.83203125" customWidth="1"/>
    <col min="8" max="8" width="9.5" customWidth="1"/>
    <col min="9" max="9" width="7.83203125" customWidth="1"/>
    <col min="10" max="10" width="4.5" customWidth="1"/>
    <col min="11" max="11" width="14.1640625" customWidth="1"/>
    <col min="12" max="12" width="3.6640625" customWidth="1"/>
    <col min="17" max="17" width="31.83203125" customWidth="1"/>
    <col min="18" max="18" width="16.83203125" customWidth="1"/>
    <col min="19" max="19" width="15.33203125" customWidth="1"/>
    <col min="20" max="20" width="15.6640625" customWidth="1"/>
    <col min="21" max="21" width="4.5" customWidth="1"/>
    <col min="27" max="27" width="4.83203125" customWidth="1"/>
    <col min="28" max="28" width="8.1640625" customWidth="1"/>
    <col min="42" max="42" width="15.5" customWidth="1"/>
    <col min="43" max="43" width="12.6640625" customWidth="1"/>
    <col min="44" max="44" width="17" customWidth="1"/>
    <col min="45" max="45" width="13" customWidth="1"/>
    <col min="49" max="49" width="74.5" customWidth="1"/>
    <col min="50" max="50" width="80.1640625" customWidth="1"/>
    <col min="53" max="53" width="15.5" customWidth="1"/>
    <col min="88" max="88" width="13.83203125" customWidth="1"/>
    <col min="105" max="105" width="11.6640625" customWidth="1"/>
    <col min="123" max="123" width="15" customWidth="1"/>
    <col min="132" max="132" width="16" customWidth="1"/>
    <col min="183" max="183" width="12.1640625" customWidth="1"/>
    <col min="190" max="190" width="22.33203125" customWidth="1"/>
  </cols>
  <sheetData>
    <row r="1" spans="1:188" s="5" customFormat="1" x14ac:dyDescent="0.2">
      <c r="A1" s="16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/>
      <c r="M1" s="1" t="s">
        <v>10</v>
      </c>
      <c r="N1" s="1"/>
      <c r="O1" s="3"/>
      <c r="P1" s="1"/>
      <c r="Q1" s="1" t="s">
        <v>11</v>
      </c>
      <c r="R1" s="4" t="s">
        <v>12</v>
      </c>
      <c r="S1" s="1" t="s">
        <v>13</v>
      </c>
      <c r="T1" s="1" t="s">
        <v>14</v>
      </c>
      <c r="U1" s="1"/>
      <c r="W1" s="1"/>
      <c r="X1" s="1"/>
      <c r="Y1" s="1"/>
      <c r="Z1" s="1"/>
      <c r="AA1" s="1"/>
      <c r="AB1" s="1"/>
      <c r="AC1" s="1"/>
      <c r="AD1" s="1"/>
      <c r="AE1" s="1" t="s">
        <v>15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 t="s">
        <v>16</v>
      </c>
      <c r="AQ1" s="1" t="s">
        <v>17</v>
      </c>
      <c r="AR1" s="1" t="s">
        <v>18</v>
      </c>
      <c r="AS1" s="1" t="s">
        <v>19</v>
      </c>
      <c r="AT1" s="1" t="s">
        <v>20</v>
      </c>
      <c r="AU1" s="1" t="s">
        <v>21</v>
      </c>
      <c r="AV1" s="3"/>
      <c r="AW1" s="1" t="s">
        <v>22</v>
      </c>
      <c r="AX1" s="1" t="s">
        <v>175</v>
      </c>
      <c r="AY1" s="1"/>
      <c r="AZ1" s="1" t="s">
        <v>23</v>
      </c>
      <c r="BA1" s="1" t="s">
        <v>24</v>
      </c>
      <c r="BB1" s="1" t="s">
        <v>25</v>
      </c>
      <c r="BC1" s="1" t="s">
        <v>26</v>
      </c>
      <c r="BD1" s="1" t="s">
        <v>27</v>
      </c>
      <c r="BE1" s="1" t="s">
        <v>28</v>
      </c>
      <c r="BF1" s="1" t="s">
        <v>29</v>
      </c>
      <c r="BG1" s="1" t="s">
        <v>30</v>
      </c>
      <c r="BH1" s="1" t="s">
        <v>31</v>
      </c>
      <c r="BI1" s="1" t="s">
        <v>32</v>
      </c>
      <c r="BJ1" s="1" t="s">
        <v>33</v>
      </c>
      <c r="BK1" s="1" t="s">
        <v>34</v>
      </c>
      <c r="BL1" s="1" t="s">
        <v>35</v>
      </c>
      <c r="BM1" s="1" t="s">
        <v>36</v>
      </c>
      <c r="BN1" s="1" t="s">
        <v>37</v>
      </c>
      <c r="BO1" s="1" t="s">
        <v>38</v>
      </c>
      <c r="BP1" s="1" t="s">
        <v>39</v>
      </c>
      <c r="BQ1" s="1" t="s">
        <v>40</v>
      </c>
      <c r="BR1" s="1" t="s">
        <v>41</v>
      </c>
      <c r="BS1" s="1" t="s">
        <v>42</v>
      </c>
      <c r="BT1" s="1" t="s">
        <v>43</v>
      </c>
      <c r="BU1" s="1" t="s">
        <v>44</v>
      </c>
      <c r="BV1" s="1" t="s">
        <v>45</v>
      </c>
      <c r="BW1" s="1" t="s">
        <v>46</v>
      </c>
      <c r="BX1" s="1" t="s">
        <v>47</v>
      </c>
      <c r="BY1" s="1" t="s">
        <v>48</v>
      </c>
      <c r="BZ1" s="1" t="s">
        <v>49</v>
      </c>
      <c r="CA1" s="1" t="s">
        <v>50</v>
      </c>
      <c r="CB1" s="1" t="s">
        <v>51</v>
      </c>
      <c r="CC1" s="1" t="s">
        <v>52</v>
      </c>
      <c r="CD1" s="1" t="s">
        <v>53</v>
      </c>
      <c r="CE1" s="1" t="s">
        <v>54</v>
      </c>
      <c r="CF1" s="1" t="s">
        <v>55</v>
      </c>
      <c r="CG1" s="6" t="s">
        <v>56</v>
      </c>
      <c r="CH1" s="6" t="s">
        <v>57</v>
      </c>
      <c r="CI1" s="1" t="s">
        <v>58</v>
      </c>
      <c r="CJ1" s="1" t="s">
        <v>59</v>
      </c>
      <c r="CK1" s="1" t="s">
        <v>60</v>
      </c>
      <c r="CL1" s="1" t="s">
        <v>61</v>
      </c>
      <c r="CM1" s="1" t="s">
        <v>62</v>
      </c>
      <c r="CN1" s="1" t="s">
        <v>63</v>
      </c>
      <c r="CO1" s="1" t="s">
        <v>234</v>
      </c>
      <c r="CP1" s="1" t="s">
        <v>64</v>
      </c>
      <c r="CQ1" s="1" t="s">
        <v>65</v>
      </c>
      <c r="CR1" s="1" t="s">
        <v>66</v>
      </c>
      <c r="CS1" s="1" t="s">
        <v>67</v>
      </c>
      <c r="CT1" s="1" t="s">
        <v>68</v>
      </c>
      <c r="CU1" s="1" t="s">
        <v>69</v>
      </c>
      <c r="CV1" s="1" t="s">
        <v>70</v>
      </c>
      <c r="CW1" s="1" t="s">
        <v>71</v>
      </c>
      <c r="CX1" s="1" t="s">
        <v>72</v>
      </c>
      <c r="CY1" s="1" t="s">
        <v>73</v>
      </c>
      <c r="CZ1" s="1" t="s">
        <v>74</v>
      </c>
      <c r="DA1" s="20" t="s">
        <v>75</v>
      </c>
      <c r="DB1" s="1" t="s">
        <v>76</v>
      </c>
      <c r="DC1" s="1" t="s">
        <v>77</v>
      </c>
      <c r="DD1" s="1" t="s">
        <v>78</v>
      </c>
      <c r="DE1" s="1" t="s">
        <v>79</v>
      </c>
      <c r="DF1" s="1" t="s">
        <v>80</v>
      </c>
      <c r="DG1" s="1" t="s">
        <v>81</v>
      </c>
      <c r="DH1" s="1" t="s">
        <v>82</v>
      </c>
      <c r="DI1" s="1" t="s">
        <v>83</v>
      </c>
      <c r="DJ1" s="1" t="s">
        <v>84</v>
      </c>
      <c r="DK1" s="1" t="s">
        <v>85</v>
      </c>
      <c r="DL1" s="1" t="s">
        <v>86</v>
      </c>
      <c r="DM1" s="1" t="s">
        <v>87</v>
      </c>
      <c r="DN1" s="1" t="s">
        <v>88</v>
      </c>
      <c r="DO1" s="1" t="s">
        <v>89</v>
      </c>
      <c r="DP1" s="1" t="s">
        <v>90</v>
      </c>
      <c r="DQ1" s="20" t="s">
        <v>91</v>
      </c>
      <c r="DR1" s="1" t="s">
        <v>92</v>
      </c>
      <c r="DS1" s="20" t="s">
        <v>93</v>
      </c>
      <c r="DT1" s="20" t="s">
        <v>94</v>
      </c>
      <c r="DU1" s="1" t="s">
        <v>95</v>
      </c>
      <c r="DV1" s="1" t="s">
        <v>96</v>
      </c>
      <c r="DW1" s="1" t="s">
        <v>97</v>
      </c>
      <c r="DX1" s="1" t="s">
        <v>98</v>
      </c>
      <c r="DY1" s="1" t="s">
        <v>99</v>
      </c>
      <c r="DZ1" s="1" t="s">
        <v>100</v>
      </c>
      <c r="EA1" s="1" t="s">
        <v>101</v>
      </c>
      <c r="EB1" s="1" t="s">
        <v>259</v>
      </c>
      <c r="EC1" s="1" t="s">
        <v>102</v>
      </c>
      <c r="ED1" s="1" t="s">
        <v>103</v>
      </c>
      <c r="EE1" s="1" t="s">
        <v>104</v>
      </c>
      <c r="EF1" s="7" t="s">
        <v>105</v>
      </c>
      <c r="EG1" s="1" t="s">
        <v>106</v>
      </c>
      <c r="EH1" s="20" t="s">
        <v>107</v>
      </c>
      <c r="EI1" s="1" t="s">
        <v>108</v>
      </c>
      <c r="EJ1" s="1" t="s">
        <v>109</v>
      </c>
      <c r="EK1" s="1" t="s">
        <v>110</v>
      </c>
      <c r="EL1" s="1" t="s">
        <v>111</v>
      </c>
      <c r="EM1" s="1" t="s">
        <v>112</v>
      </c>
      <c r="EN1" s="1" t="s">
        <v>113</v>
      </c>
      <c r="EO1" s="1" t="s">
        <v>114</v>
      </c>
      <c r="EP1" s="1" t="s">
        <v>115</v>
      </c>
      <c r="EQ1" s="1" t="s">
        <v>116</v>
      </c>
      <c r="ER1" s="1" t="s">
        <v>218</v>
      </c>
      <c r="ES1" s="1" t="s">
        <v>117</v>
      </c>
      <c r="ET1" s="1" t="s">
        <v>118</v>
      </c>
      <c r="EU1" s="1" t="s">
        <v>119</v>
      </c>
      <c r="EV1" s="1" t="s">
        <v>120</v>
      </c>
      <c r="EW1" s="1" t="s">
        <v>121</v>
      </c>
      <c r="EX1" s="20" t="s">
        <v>122</v>
      </c>
      <c r="EY1" s="20" t="s">
        <v>123</v>
      </c>
      <c r="EZ1" s="1" t="s">
        <v>124</v>
      </c>
      <c r="FA1" s="20" t="s">
        <v>125</v>
      </c>
      <c r="FB1" s="1" t="s">
        <v>126</v>
      </c>
      <c r="FC1" s="1" t="s">
        <v>127</v>
      </c>
      <c r="FD1" s="1" t="s">
        <v>128</v>
      </c>
      <c r="FE1" s="1" t="s">
        <v>129</v>
      </c>
      <c r="FF1" s="1" t="s">
        <v>130</v>
      </c>
      <c r="FG1" s="1" t="s">
        <v>131</v>
      </c>
      <c r="FH1" s="1" t="s">
        <v>132</v>
      </c>
      <c r="FI1" s="20" t="s">
        <v>133</v>
      </c>
      <c r="FJ1" s="1" t="s">
        <v>134</v>
      </c>
      <c r="FK1" s="1" t="s">
        <v>135</v>
      </c>
      <c r="FL1" s="1" t="s">
        <v>321</v>
      </c>
      <c r="FM1" s="20" t="s">
        <v>136</v>
      </c>
      <c r="FN1" s="1" t="s">
        <v>137</v>
      </c>
      <c r="FO1" s="1" t="s">
        <v>138</v>
      </c>
      <c r="FP1" s="1" t="s">
        <v>139</v>
      </c>
      <c r="FQ1" s="1" t="s">
        <v>140</v>
      </c>
      <c r="FR1" s="1" t="s">
        <v>141</v>
      </c>
      <c r="FS1" s="1" t="s">
        <v>142</v>
      </c>
      <c r="FT1" s="20" t="s">
        <v>143</v>
      </c>
      <c r="FU1" s="1" t="s">
        <v>144</v>
      </c>
      <c r="FV1" s="1" t="s">
        <v>145</v>
      </c>
      <c r="FW1" s="1" t="s">
        <v>327</v>
      </c>
      <c r="FX1" s="20" t="s">
        <v>146</v>
      </c>
      <c r="FY1" s="1" t="s">
        <v>147</v>
      </c>
      <c r="FZ1" s="20" t="s">
        <v>148</v>
      </c>
      <c r="GA1" s="20" t="s">
        <v>149</v>
      </c>
      <c r="GB1" s="1" t="s">
        <v>150</v>
      </c>
      <c r="GC1" s="1" t="s">
        <v>151</v>
      </c>
      <c r="GD1" s="1" t="s">
        <v>152</v>
      </c>
      <c r="GE1" s="7" t="s">
        <v>153</v>
      </c>
      <c r="GF1" s="8" t="s">
        <v>154</v>
      </c>
    </row>
    <row r="3" spans="1:188" s="5" customFormat="1" x14ac:dyDescent="0.2">
      <c r="A3" s="17"/>
      <c r="B3" s="9">
        <v>45323</v>
      </c>
      <c r="C3" s="10"/>
      <c r="M3" s="4" t="s">
        <v>155</v>
      </c>
      <c r="N3" s="4" t="s">
        <v>156</v>
      </c>
      <c r="O3" s="4" t="s">
        <v>157</v>
      </c>
      <c r="P3" s="4" t="s">
        <v>21</v>
      </c>
      <c r="Q3" s="11"/>
      <c r="V3" s="12" t="s">
        <v>155</v>
      </c>
      <c r="W3" s="12" t="s">
        <v>156</v>
      </c>
      <c r="X3" s="12" t="s">
        <v>157</v>
      </c>
      <c r="Y3" s="12" t="s">
        <v>158</v>
      </c>
      <c r="Z3" s="12" t="s">
        <v>21</v>
      </c>
      <c r="AA3" s="8"/>
      <c r="AB3" s="14" t="s">
        <v>159</v>
      </c>
      <c r="AC3" s="13">
        <v>8</v>
      </c>
      <c r="AD3" s="4">
        <v>9</v>
      </c>
      <c r="AE3" s="4">
        <v>10</v>
      </c>
      <c r="AF3" s="4">
        <v>11</v>
      </c>
      <c r="AG3" s="4">
        <v>12</v>
      </c>
      <c r="AH3" s="4">
        <v>13</v>
      </c>
      <c r="AI3" s="4">
        <v>14</v>
      </c>
      <c r="AJ3" s="4">
        <v>15</v>
      </c>
      <c r="AK3" s="4">
        <v>16</v>
      </c>
      <c r="AL3" s="4">
        <v>17</v>
      </c>
      <c r="AM3" s="4" t="s">
        <v>160</v>
      </c>
      <c r="AN3" s="4" t="s">
        <v>21</v>
      </c>
    </row>
    <row r="5" spans="1:188" x14ac:dyDescent="0.2">
      <c r="A5" s="19">
        <v>1</v>
      </c>
      <c r="B5" t="s">
        <v>169</v>
      </c>
      <c r="C5" t="s">
        <v>170</v>
      </c>
      <c r="D5" t="s">
        <v>171</v>
      </c>
      <c r="E5">
        <v>3</v>
      </c>
      <c r="F5">
        <v>0</v>
      </c>
      <c r="G5">
        <v>3</v>
      </c>
      <c r="H5">
        <v>0</v>
      </c>
      <c r="I5">
        <v>0</v>
      </c>
      <c r="K5">
        <v>68</v>
      </c>
      <c r="M5">
        <v>35</v>
      </c>
      <c r="N5">
        <v>33</v>
      </c>
      <c r="O5">
        <v>0</v>
      </c>
      <c r="P5">
        <v>68</v>
      </c>
      <c r="Q5" t="s">
        <v>172</v>
      </c>
      <c r="R5" t="s">
        <v>173</v>
      </c>
      <c r="S5">
        <v>9</v>
      </c>
      <c r="T5">
        <v>1</v>
      </c>
      <c r="V5">
        <v>4</v>
      </c>
      <c r="W5">
        <v>5</v>
      </c>
      <c r="X5">
        <v>0</v>
      </c>
      <c r="Y5">
        <v>0</v>
      </c>
      <c r="Z5">
        <v>9</v>
      </c>
      <c r="AB5">
        <v>0</v>
      </c>
      <c r="AC5">
        <v>0</v>
      </c>
      <c r="AD5">
        <v>0</v>
      </c>
      <c r="AE5">
        <v>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9</v>
      </c>
      <c r="AP5">
        <v>4</v>
      </c>
      <c r="AQ5">
        <v>5</v>
      </c>
      <c r="AR5">
        <v>0</v>
      </c>
      <c r="AS5">
        <v>0</v>
      </c>
      <c r="AT5">
        <v>0</v>
      </c>
      <c r="AU5">
        <v>9</v>
      </c>
      <c r="AW5" t="s">
        <v>174</v>
      </c>
      <c r="AX5" t="s">
        <v>176</v>
      </c>
      <c r="AZ5">
        <v>59</v>
      </c>
      <c r="BA5">
        <v>0</v>
      </c>
      <c r="BB5">
        <v>0</v>
      </c>
      <c r="BC5">
        <v>2</v>
      </c>
      <c r="BD5">
        <v>0</v>
      </c>
      <c r="BE5">
        <v>0</v>
      </c>
      <c r="BF5">
        <v>0</v>
      </c>
      <c r="BG5">
        <v>2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</row>
    <row r="6" spans="1:188" x14ac:dyDescent="0.2">
      <c r="A6" s="19">
        <v>2</v>
      </c>
      <c r="B6" t="s">
        <v>180</v>
      </c>
      <c r="C6" t="s">
        <v>170</v>
      </c>
      <c r="D6" t="s">
        <v>171</v>
      </c>
      <c r="E6">
        <v>3</v>
      </c>
      <c r="F6">
        <v>0</v>
      </c>
      <c r="G6">
        <v>3</v>
      </c>
      <c r="H6">
        <v>0</v>
      </c>
      <c r="I6">
        <v>0</v>
      </c>
      <c r="K6">
        <v>67</v>
      </c>
      <c r="M6">
        <v>41</v>
      </c>
      <c r="N6">
        <v>26</v>
      </c>
      <c r="O6">
        <v>0</v>
      </c>
      <c r="P6">
        <v>67</v>
      </c>
      <c r="Q6" t="s">
        <v>172</v>
      </c>
      <c r="R6" t="s">
        <v>173</v>
      </c>
      <c r="S6">
        <v>17</v>
      </c>
      <c r="T6">
        <v>1</v>
      </c>
      <c r="V6">
        <v>9</v>
      </c>
      <c r="W6">
        <v>8</v>
      </c>
      <c r="X6">
        <v>0</v>
      </c>
      <c r="Y6">
        <v>0</v>
      </c>
      <c r="Z6">
        <v>17</v>
      </c>
      <c r="AB6">
        <v>0</v>
      </c>
      <c r="AC6">
        <v>0</v>
      </c>
      <c r="AD6">
        <v>0</v>
      </c>
      <c r="AE6">
        <v>14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17</v>
      </c>
      <c r="AP6">
        <v>5</v>
      </c>
      <c r="AQ6">
        <v>7</v>
      </c>
      <c r="AR6">
        <v>4</v>
      </c>
      <c r="AS6">
        <v>0</v>
      </c>
      <c r="AT6">
        <v>1</v>
      </c>
      <c r="AU6">
        <v>17</v>
      </c>
      <c r="AW6" t="s">
        <v>181</v>
      </c>
      <c r="AX6" t="s">
        <v>182</v>
      </c>
      <c r="AZ6">
        <v>57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2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2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  <c r="FP6">
        <v>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</row>
    <row r="8" spans="1:188" x14ac:dyDescent="0.2">
      <c r="B8" s="22">
        <v>45352</v>
      </c>
    </row>
    <row r="9" spans="1:188" x14ac:dyDescent="0.2">
      <c r="A9" s="19">
        <v>3</v>
      </c>
      <c r="B9" t="s">
        <v>185</v>
      </c>
      <c r="C9" t="s">
        <v>186</v>
      </c>
      <c r="D9" t="s">
        <v>187</v>
      </c>
      <c r="E9">
        <v>3</v>
      </c>
      <c r="F9">
        <v>3</v>
      </c>
      <c r="G9">
        <v>0</v>
      </c>
      <c r="H9">
        <v>0</v>
      </c>
      <c r="I9">
        <v>0</v>
      </c>
      <c r="K9">
        <v>43</v>
      </c>
      <c r="M9">
        <v>24</v>
      </c>
      <c r="N9">
        <v>19</v>
      </c>
      <c r="O9">
        <v>0</v>
      </c>
      <c r="P9">
        <v>43</v>
      </c>
      <c r="Q9" t="s">
        <v>188</v>
      </c>
      <c r="R9" t="s">
        <v>173</v>
      </c>
      <c r="S9">
        <v>33</v>
      </c>
      <c r="T9">
        <v>1</v>
      </c>
      <c r="V9">
        <v>16</v>
      </c>
      <c r="W9">
        <v>15</v>
      </c>
      <c r="X9">
        <v>0</v>
      </c>
      <c r="Y9">
        <v>2</v>
      </c>
      <c r="Z9">
        <v>33</v>
      </c>
      <c r="AB9">
        <v>2</v>
      </c>
      <c r="AC9">
        <v>0</v>
      </c>
      <c r="AD9">
        <v>0</v>
      </c>
      <c r="AE9">
        <v>0</v>
      </c>
      <c r="AF9">
        <v>0</v>
      </c>
      <c r="AG9">
        <v>6</v>
      </c>
      <c r="AH9">
        <v>21</v>
      </c>
      <c r="AI9">
        <v>3</v>
      </c>
      <c r="AJ9">
        <v>1</v>
      </c>
      <c r="AK9">
        <v>0</v>
      </c>
      <c r="AL9">
        <v>0</v>
      </c>
      <c r="AM9">
        <v>0</v>
      </c>
      <c r="AN9">
        <v>33</v>
      </c>
      <c r="AP9">
        <v>7</v>
      </c>
      <c r="AQ9">
        <v>14</v>
      </c>
      <c r="AR9">
        <v>8</v>
      </c>
      <c r="AS9">
        <v>3</v>
      </c>
      <c r="AT9">
        <v>1</v>
      </c>
      <c r="AU9">
        <v>33</v>
      </c>
      <c r="AW9" t="s">
        <v>189</v>
      </c>
      <c r="AX9" t="s">
        <v>190</v>
      </c>
      <c r="AZ9">
        <v>34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3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2</v>
      </c>
      <c r="FO9">
        <v>0</v>
      </c>
      <c r="FP9">
        <v>1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</row>
    <row r="10" spans="1:188" x14ac:dyDescent="0.2">
      <c r="A10" s="18" t="s">
        <v>196</v>
      </c>
      <c r="B10" t="s">
        <v>197</v>
      </c>
      <c r="C10" t="s">
        <v>198</v>
      </c>
      <c r="D10" t="s">
        <v>199</v>
      </c>
      <c r="E10">
        <v>3</v>
      </c>
      <c r="F10">
        <v>0</v>
      </c>
      <c r="G10">
        <v>3</v>
      </c>
      <c r="H10">
        <v>0</v>
      </c>
      <c r="I10">
        <v>0</v>
      </c>
      <c r="K10">
        <v>61</v>
      </c>
      <c r="M10">
        <v>34</v>
      </c>
      <c r="N10">
        <v>27</v>
      </c>
      <c r="O10">
        <v>0</v>
      </c>
      <c r="P10">
        <v>61</v>
      </c>
      <c r="Q10" t="s">
        <v>200</v>
      </c>
      <c r="R10" t="s">
        <v>173</v>
      </c>
      <c r="S10">
        <v>56</v>
      </c>
      <c r="T10">
        <v>3</v>
      </c>
      <c r="V10">
        <v>31</v>
      </c>
      <c r="W10">
        <v>22</v>
      </c>
      <c r="X10">
        <v>1</v>
      </c>
      <c r="Y10">
        <v>2</v>
      </c>
      <c r="Z10">
        <v>56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32</v>
      </c>
      <c r="AI10">
        <v>2</v>
      </c>
      <c r="AJ10">
        <v>4</v>
      </c>
      <c r="AK10">
        <v>16</v>
      </c>
      <c r="AL10">
        <v>2</v>
      </c>
      <c r="AM10">
        <v>0</v>
      </c>
      <c r="AN10">
        <v>56</v>
      </c>
      <c r="AP10">
        <v>28</v>
      </c>
      <c r="AQ10">
        <v>22</v>
      </c>
      <c r="AR10">
        <v>4</v>
      </c>
      <c r="AS10">
        <v>2</v>
      </c>
      <c r="AT10">
        <v>0</v>
      </c>
      <c r="AU10">
        <v>56</v>
      </c>
      <c r="AW10" t="s">
        <v>201</v>
      </c>
      <c r="AX10" t="s">
        <v>179</v>
      </c>
      <c r="AZ10">
        <v>53</v>
      </c>
      <c r="BA10">
        <v>0</v>
      </c>
      <c r="BB10">
        <v>0</v>
      </c>
      <c r="BC10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1</v>
      </c>
      <c r="BQ10">
        <v>0</v>
      </c>
      <c r="BR10">
        <v>0</v>
      </c>
      <c r="BS10">
        <v>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</row>
    <row r="12" spans="1:188" x14ac:dyDescent="0.2">
      <c r="B12" s="22">
        <v>45383</v>
      </c>
    </row>
    <row r="13" spans="1:188" x14ac:dyDescent="0.2">
      <c r="A13" s="18" t="s">
        <v>211</v>
      </c>
      <c r="B13" t="s">
        <v>213</v>
      </c>
      <c r="C13" t="s">
        <v>212</v>
      </c>
      <c r="D13" t="s">
        <v>214</v>
      </c>
      <c r="E13">
        <v>3</v>
      </c>
      <c r="F13">
        <v>3</v>
      </c>
      <c r="G13">
        <v>0</v>
      </c>
      <c r="H13">
        <v>0</v>
      </c>
      <c r="I13">
        <v>0</v>
      </c>
      <c r="K13">
        <v>69</v>
      </c>
      <c r="M13">
        <v>69</v>
      </c>
      <c r="N13">
        <v>0</v>
      </c>
      <c r="O13">
        <v>0</v>
      </c>
      <c r="P13">
        <v>69</v>
      </c>
      <c r="Q13" t="s">
        <v>210</v>
      </c>
      <c r="R13" t="s">
        <v>173</v>
      </c>
      <c r="S13">
        <v>67</v>
      </c>
      <c r="T13">
        <v>2</v>
      </c>
      <c r="V13">
        <v>67</v>
      </c>
      <c r="W13">
        <v>0</v>
      </c>
      <c r="X13">
        <v>0</v>
      </c>
      <c r="Y13">
        <v>0</v>
      </c>
      <c r="Z13">
        <v>67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6</v>
      </c>
      <c r="AK13">
        <v>59</v>
      </c>
      <c r="AL13">
        <v>2</v>
      </c>
      <c r="AM13">
        <v>0</v>
      </c>
      <c r="AN13">
        <v>67</v>
      </c>
      <c r="AP13">
        <v>22</v>
      </c>
      <c r="AQ13">
        <v>34</v>
      </c>
      <c r="AR13">
        <v>8</v>
      </c>
      <c r="AS13">
        <v>2</v>
      </c>
      <c r="AT13">
        <v>1</v>
      </c>
      <c r="AU13">
        <v>67</v>
      </c>
      <c r="AW13" t="s">
        <v>266</v>
      </c>
      <c r="AX13" t="s">
        <v>219</v>
      </c>
      <c r="AZ13">
        <v>67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 s="23">
        <v>0</v>
      </c>
      <c r="EV13" s="23">
        <v>0</v>
      </c>
      <c r="EW13" s="23">
        <v>0</v>
      </c>
      <c r="EX13" s="23">
        <v>0</v>
      </c>
      <c r="EY13" s="23">
        <v>0</v>
      </c>
      <c r="EZ13" s="23">
        <v>1</v>
      </c>
      <c r="FA13" s="23">
        <v>0</v>
      </c>
      <c r="FB13" s="23">
        <v>0</v>
      </c>
      <c r="FC13" s="23">
        <v>0</v>
      </c>
      <c r="FD13" s="23">
        <v>0</v>
      </c>
      <c r="FE13" s="23">
        <v>0</v>
      </c>
      <c r="FF13" s="23">
        <v>0</v>
      </c>
      <c r="FG13" s="23">
        <v>0</v>
      </c>
      <c r="FH13" s="23">
        <v>0</v>
      </c>
      <c r="FI13" s="23">
        <v>0</v>
      </c>
      <c r="FJ13" s="23">
        <v>0</v>
      </c>
      <c r="FK13" s="23">
        <v>0</v>
      </c>
      <c r="FL13" s="23">
        <v>0</v>
      </c>
      <c r="FM13" s="23">
        <v>0</v>
      </c>
      <c r="FN13" s="23">
        <v>1</v>
      </c>
      <c r="FO13" s="23">
        <v>0</v>
      </c>
      <c r="FP13" s="23">
        <v>0</v>
      </c>
      <c r="FQ13" s="23">
        <v>1</v>
      </c>
      <c r="FR13" s="23">
        <v>0</v>
      </c>
      <c r="FS13" s="23">
        <v>0</v>
      </c>
      <c r="FT13" s="23">
        <v>0</v>
      </c>
      <c r="FU13" s="23">
        <v>0</v>
      </c>
      <c r="FV13" s="23">
        <v>0</v>
      </c>
      <c r="FW13" s="23">
        <v>0</v>
      </c>
      <c r="FX13" s="23">
        <v>0</v>
      </c>
      <c r="FY13" s="23">
        <v>0</v>
      </c>
      <c r="FZ13" s="23">
        <v>0</v>
      </c>
      <c r="GA13" s="23">
        <v>0</v>
      </c>
      <c r="GB13" s="23">
        <v>0</v>
      </c>
      <c r="GC13" s="23">
        <v>0</v>
      </c>
      <c r="GD13" s="23">
        <v>0</v>
      </c>
      <c r="GE13" s="23">
        <v>0</v>
      </c>
      <c r="GF13" s="23">
        <v>0</v>
      </c>
    </row>
    <row r="14" spans="1:188" x14ac:dyDescent="0.2">
      <c r="A14" s="18" t="s">
        <v>206</v>
      </c>
      <c r="B14" t="s">
        <v>207</v>
      </c>
      <c r="C14" t="s">
        <v>208</v>
      </c>
      <c r="D14" t="s">
        <v>209</v>
      </c>
      <c r="E14">
        <v>3</v>
      </c>
      <c r="F14">
        <v>3</v>
      </c>
      <c r="G14">
        <v>0</v>
      </c>
      <c r="H14">
        <v>0</v>
      </c>
      <c r="I14">
        <v>0</v>
      </c>
      <c r="K14">
        <v>73</v>
      </c>
      <c r="M14">
        <v>73</v>
      </c>
      <c r="N14">
        <v>0</v>
      </c>
      <c r="O14">
        <v>0</v>
      </c>
      <c r="P14">
        <v>73</v>
      </c>
      <c r="Q14" t="s">
        <v>210</v>
      </c>
      <c r="R14" t="s">
        <v>173</v>
      </c>
      <c r="S14">
        <v>72</v>
      </c>
      <c r="T14">
        <v>2</v>
      </c>
      <c r="V14">
        <v>71</v>
      </c>
      <c r="W14">
        <v>0</v>
      </c>
      <c r="X14">
        <v>1</v>
      </c>
      <c r="Y14">
        <v>0</v>
      </c>
      <c r="Z14">
        <v>72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62</v>
      </c>
      <c r="AJ14">
        <v>6</v>
      </c>
      <c r="AK14">
        <v>0</v>
      </c>
      <c r="AL14">
        <v>0</v>
      </c>
      <c r="AM14">
        <v>0</v>
      </c>
      <c r="AN14">
        <v>72</v>
      </c>
      <c r="AP14">
        <v>45</v>
      </c>
      <c r="AQ14">
        <v>23</v>
      </c>
      <c r="AR14">
        <v>1</v>
      </c>
      <c r="AS14">
        <v>0</v>
      </c>
      <c r="AT14">
        <v>3</v>
      </c>
      <c r="AU14">
        <v>72</v>
      </c>
      <c r="AW14" t="s">
        <v>265</v>
      </c>
      <c r="AX14" t="s">
        <v>215</v>
      </c>
      <c r="AZ14">
        <v>70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1</v>
      </c>
      <c r="FH14">
        <v>0</v>
      </c>
      <c r="FI14">
        <v>0</v>
      </c>
      <c r="FJ14">
        <v>2</v>
      </c>
      <c r="FK14">
        <v>0</v>
      </c>
      <c r="FL14">
        <v>0</v>
      </c>
      <c r="FM14">
        <v>0</v>
      </c>
      <c r="FN14" s="23">
        <v>0</v>
      </c>
      <c r="FO14" s="23">
        <v>0</v>
      </c>
      <c r="FP14" s="23">
        <v>0</v>
      </c>
      <c r="FQ14" s="23">
        <v>0</v>
      </c>
      <c r="FR14" s="23">
        <v>0</v>
      </c>
      <c r="FS14" s="23">
        <v>1</v>
      </c>
      <c r="FT14" s="23">
        <v>0</v>
      </c>
      <c r="FU14" s="23">
        <v>0</v>
      </c>
      <c r="FV14" s="23">
        <v>0</v>
      </c>
      <c r="FW14" s="23">
        <v>0</v>
      </c>
      <c r="FX14" s="23">
        <v>0</v>
      </c>
      <c r="FY14" s="23">
        <v>0</v>
      </c>
      <c r="FZ14" s="23">
        <v>0</v>
      </c>
      <c r="GA14" s="23">
        <v>0</v>
      </c>
      <c r="GB14" s="23">
        <v>0</v>
      </c>
      <c r="GC14" s="23">
        <v>0</v>
      </c>
      <c r="GD14" s="23">
        <v>0</v>
      </c>
      <c r="GE14" s="23">
        <v>0</v>
      </c>
      <c r="GF14" s="23">
        <v>0</v>
      </c>
    </row>
    <row r="15" spans="1:188" x14ac:dyDescent="0.2">
      <c r="A15" s="18" t="s">
        <v>223</v>
      </c>
      <c r="B15" t="s">
        <v>222</v>
      </c>
      <c r="C15" t="s">
        <v>208</v>
      </c>
      <c r="D15" t="s">
        <v>209</v>
      </c>
      <c r="E15">
        <v>3</v>
      </c>
      <c r="F15">
        <v>3</v>
      </c>
      <c r="G15">
        <v>0</v>
      </c>
      <c r="H15">
        <v>0</v>
      </c>
      <c r="I15">
        <v>0</v>
      </c>
      <c r="K15">
        <v>79</v>
      </c>
      <c r="M15">
        <v>79</v>
      </c>
      <c r="N15">
        <v>0</v>
      </c>
      <c r="O15">
        <v>0</v>
      </c>
      <c r="P15">
        <v>79</v>
      </c>
      <c r="Q15" t="s">
        <v>172</v>
      </c>
      <c r="R15" t="s">
        <v>173</v>
      </c>
      <c r="S15">
        <v>64</v>
      </c>
      <c r="T15">
        <v>2</v>
      </c>
      <c r="V15">
        <v>62</v>
      </c>
      <c r="W15">
        <v>0</v>
      </c>
      <c r="X15">
        <v>2</v>
      </c>
      <c r="Y15">
        <v>0</v>
      </c>
      <c r="Z15">
        <v>64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6</v>
      </c>
      <c r="AI15">
        <v>54</v>
      </c>
      <c r="AJ15">
        <v>4</v>
      </c>
      <c r="AK15">
        <v>0</v>
      </c>
      <c r="AL15">
        <v>0</v>
      </c>
      <c r="AM15">
        <v>0</v>
      </c>
      <c r="AN15">
        <v>64</v>
      </c>
      <c r="AP15">
        <v>44</v>
      </c>
      <c r="AQ15">
        <v>18</v>
      </c>
      <c r="AR15">
        <v>2</v>
      </c>
      <c r="AS15">
        <v>0</v>
      </c>
      <c r="AT15">
        <v>0</v>
      </c>
      <c r="AU15">
        <v>64</v>
      </c>
      <c r="AW15" t="s">
        <v>224</v>
      </c>
      <c r="AX15" t="s">
        <v>225</v>
      </c>
      <c r="AZ15">
        <v>74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 s="23">
        <v>0</v>
      </c>
      <c r="EW15" s="23">
        <v>0</v>
      </c>
      <c r="EX15" s="23">
        <v>1</v>
      </c>
      <c r="EY15" s="23">
        <v>0</v>
      </c>
      <c r="EZ15" s="23">
        <v>0</v>
      </c>
      <c r="FA15" s="23">
        <v>0</v>
      </c>
      <c r="FB15" s="23">
        <v>0</v>
      </c>
      <c r="FC15" s="23">
        <v>0</v>
      </c>
      <c r="FD15" s="23">
        <v>0</v>
      </c>
      <c r="FE15" s="23">
        <v>0</v>
      </c>
      <c r="FF15" s="23">
        <v>0</v>
      </c>
      <c r="FG15" s="23">
        <v>0</v>
      </c>
      <c r="FH15" s="23">
        <v>0</v>
      </c>
      <c r="FI15" s="23">
        <v>0</v>
      </c>
      <c r="FJ15" s="23">
        <v>1</v>
      </c>
      <c r="FK15" s="23">
        <v>0</v>
      </c>
      <c r="FL15" s="23">
        <v>0</v>
      </c>
      <c r="FM15" s="23">
        <v>0</v>
      </c>
      <c r="FN15" s="23">
        <v>1</v>
      </c>
      <c r="FO15" s="23">
        <v>0</v>
      </c>
      <c r="FP15" s="23">
        <v>0</v>
      </c>
      <c r="FQ15" s="23">
        <v>0</v>
      </c>
      <c r="FR15" s="23">
        <v>0</v>
      </c>
      <c r="FS15" s="23">
        <v>0</v>
      </c>
      <c r="FT15" s="23">
        <v>0</v>
      </c>
      <c r="FU15" s="23">
        <v>0</v>
      </c>
      <c r="FV15" s="23">
        <v>0</v>
      </c>
      <c r="FW15" s="23">
        <v>0</v>
      </c>
      <c r="FX15" s="23">
        <v>0</v>
      </c>
      <c r="FY15" s="23">
        <v>0</v>
      </c>
      <c r="FZ15" s="23">
        <v>0</v>
      </c>
      <c r="GA15" s="23">
        <v>0</v>
      </c>
      <c r="GB15" s="23">
        <v>0</v>
      </c>
      <c r="GC15" s="23">
        <v>0</v>
      </c>
      <c r="GD15" s="23">
        <v>0</v>
      </c>
      <c r="GE15" s="23">
        <v>0</v>
      </c>
      <c r="GF15" s="23">
        <v>0</v>
      </c>
    </row>
    <row r="16" spans="1:188" x14ac:dyDescent="0.2">
      <c r="A16" s="18" t="s">
        <v>228</v>
      </c>
      <c r="B16" t="s">
        <v>229</v>
      </c>
      <c r="C16" t="s">
        <v>230</v>
      </c>
      <c r="D16" t="s">
        <v>231</v>
      </c>
      <c r="E16">
        <v>3</v>
      </c>
      <c r="F16">
        <v>0</v>
      </c>
      <c r="G16">
        <v>3</v>
      </c>
      <c r="H16">
        <v>0</v>
      </c>
      <c r="I16">
        <v>0</v>
      </c>
      <c r="K16">
        <v>65</v>
      </c>
      <c r="M16">
        <v>65</v>
      </c>
      <c r="N16">
        <v>0</v>
      </c>
      <c r="O16">
        <v>0</v>
      </c>
      <c r="P16">
        <v>65</v>
      </c>
      <c r="Q16" t="s">
        <v>210</v>
      </c>
      <c r="R16" t="s">
        <v>173</v>
      </c>
      <c r="S16">
        <v>38</v>
      </c>
      <c r="T16">
        <v>2</v>
      </c>
      <c r="V16">
        <v>38</v>
      </c>
      <c r="W16">
        <v>0</v>
      </c>
      <c r="X16">
        <v>0</v>
      </c>
      <c r="Y16">
        <v>0</v>
      </c>
      <c r="Z16">
        <v>38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</v>
      </c>
      <c r="AH16">
        <v>29</v>
      </c>
      <c r="AI16">
        <v>5</v>
      </c>
      <c r="AJ16">
        <v>0</v>
      </c>
      <c r="AK16">
        <v>0</v>
      </c>
      <c r="AL16">
        <v>0</v>
      </c>
      <c r="AM16">
        <v>0</v>
      </c>
      <c r="AN16">
        <v>38</v>
      </c>
      <c r="AP16">
        <v>26</v>
      </c>
      <c r="AQ16">
        <v>10</v>
      </c>
      <c r="AR16">
        <v>1</v>
      </c>
      <c r="AS16">
        <v>0</v>
      </c>
      <c r="AT16">
        <v>1</v>
      </c>
      <c r="AU16">
        <v>38</v>
      </c>
      <c r="AW16" t="s">
        <v>232</v>
      </c>
      <c r="AX16" t="s">
        <v>233</v>
      </c>
      <c r="AZ16">
        <v>59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3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0</v>
      </c>
      <c r="FN16" s="23">
        <v>1</v>
      </c>
      <c r="FO16" s="23">
        <v>0</v>
      </c>
      <c r="FP16" s="23">
        <v>0</v>
      </c>
      <c r="FQ16" s="23">
        <v>0</v>
      </c>
      <c r="FR16" s="23">
        <v>0</v>
      </c>
      <c r="FS16" s="23">
        <v>0</v>
      </c>
      <c r="FT16" s="23">
        <v>0</v>
      </c>
      <c r="FU16" s="23">
        <v>0</v>
      </c>
      <c r="FV16" s="23">
        <v>0</v>
      </c>
      <c r="FW16" s="23">
        <v>0</v>
      </c>
      <c r="FX16" s="23">
        <v>0</v>
      </c>
      <c r="FY16" s="23">
        <v>0</v>
      </c>
      <c r="FZ16" s="23">
        <v>0</v>
      </c>
      <c r="GA16" s="23">
        <v>0</v>
      </c>
      <c r="GB16" s="23">
        <v>0</v>
      </c>
      <c r="GC16" s="23">
        <v>0</v>
      </c>
      <c r="GD16" s="23">
        <v>0</v>
      </c>
      <c r="GE16" s="23">
        <v>0</v>
      </c>
      <c r="GF16" s="23">
        <v>0</v>
      </c>
    </row>
    <row r="17" spans="1:189" x14ac:dyDescent="0.2">
      <c r="A17" s="19">
        <v>9</v>
      </c>
      <c r="B17" t="s">
        <v>238</v>
      </c>
      <c r="C17" t="s">
        <v>230</v>
      </c>
      <c r="D17" t="s">
        <v>231</v>
      </c>
      <c r="E17">
        <v>3</v>
      </c>
      <c r="F17">
        <v>0</v>
      </c>
      <c r="G17">
        <v>3</v>
      </c>
      <c r="H17">
        <v>0</v>
      </c>
      <c r="I17">
        <v>0</v>
      </c>
      <c r="K17">
        <v>43</v>
      </c>
      <c r="M17">
        <v>43</v>
      </c>
      <c r="N17">
        <v>0</v>
      </c>
      <c r="O17">
        <v>0</v>
      </c>
      <c r="P17">
        <v>43</v>
      </c>
      <c r="Q17" t="s">
        <v>210</v>
      </c>
      <c r="R17" t="s">
        <v>173</v>
      </c>
      <c r="S17">
        <v>40</v>
      </c>
      <c r="T17">
        <v>1</v>
      </c>
      <c r="V17">
        <v>40</v>
      </c>
      <c r="W17">
        <v>0</v>
      </c>
      <c r="X17">
        <v>0</v>
      </c>
      <c r="Y17">
        <v>0</v>
      </c>
      <c r="Z17">
        <v>40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28</v>
      </c>
      <c r="AI17">
        <v>5</v>
      </c>
      <c r="AJ17">
        <v>1</v>
      </c>
      <c r="AK17">
        <v>6</v>
      </c>
      <c r="AL17">
        <v>0</v>
      </c>
      <c r="AM17">
        <v>0</v>
      </c>
      <c r="AN17">
        <v>40</v>
      </c>
      <c r="AP17">
        <v>24</v>
      </c>
      <c r="AQ17">
        <v>9</v>
      </c>
      <c r="AR17">
        <v>2</v>
      </c>
      <c r="AS17">
        <v>3</v>
      </c>
      <c r="AT17">
        <v>2</v>
      </c>
      <c r="AU17">
        <v>40</v>
      </c>
      <c r="AW17" t="s">
        <v>239</v>
      </c>
      <c r="AX17" t="s">
        <v>179</v>
      </c>
      <c r="AZ17">
        <v>39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 s="23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 s="23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</row>
    <row r="18" spans="1:189" x14ac:dyDescent="0.2">
      <c r="A18" s="19">
        <v>10</v>
      </c>
      <c r="B18" t="s">
        <v>243</v>
      </c>
      <c r="C18" t="s">
        <v>244</v>
      </c>
      <c r="D18" t="s">
        <v>245</v>
      </c>
      <c r="E18">
        <v>2</v>
      </c>
      <c r="F18">
        <v>0</v>
      </c>
      <c r="G18">
        <v>2</v>
      </c>
      <c r="H18">
        <v>0</v>
      </c>
      <c r="I18">
        <v>0</v>
      </c>
      <c r="K18">
        <v>61</v>
      </c>
      <c r="M18">
        <v>34</v>
      </c>
      <c r="N18">
        <v>27</v>
      </c>
      <c r="O18">
        <v>0</v>
      </c>
      <c r="P18">
        <v>61</v>
      </c>
      <c r="Q18" t="s">
        <v>210</v>
      </c>
      <c r="R18" t="s">
        <v>173</v>
      </c>
      <c r="S18">
        <v>33</v>
      </c>
      <c r="T18">
        <v>1</v>
      </c>
      <c r="V18">
        <v>13</v>
      </c>
      <c r="W18">
        <v>20</v>
      </c>
      <c r="X18">
        <v>0</v>
      </c>
      <c r="Y18">
        <v>0</v>
      </c>
      <c r="Z18">
        <v>33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22</v>
      </c>
      <c r="AI18">
        <v>10</v>
      </c>
      <c r="AJ18">
        <v>0</v>
      </c>
      <c r="AK18">
        <v>0</v>
      </c>
      <c r="AL18">
        <v>0</v>
      </c>
      <c r="AM18">
        <v>0</v>
      </c>
      <c r="AN18">
        <v>33</v>
      </c>
      <c r="AP18">
        <v>14</v>
      </c>
      <c r="AQ18">
        <v>10</v>
      </c>
      <c r="AR18">
        <v>9</v>
      </c>
      <c r="AS18">
        <v>0</v>
      </c>
      <c r="AT18">
        <v>0</v>
      </c>
      <c r="AU18">
        <v>33</v>
      </c>
      <c r="AW18" t="s">
        <v>246</v>
      </c>
      <c r="AX18" t="s">
        <v>247</v>
      </c>
      <c r="AZ18">
        <v>44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2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1</v>
      </c>
      <c r="CX18">
        <v>0</v>
      </c>
      <c r="CY18">
        <v>0</v>
      </c>
      <c r="CZ18">
        <v>0</v>
      </c>
      <c r="DA18">
        <v>2</v>
      </c>
      <c r="DB18">
        <v>3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 s="23">
        <v>0</v>
      </c>
      <c r="FO18" s="23">
        <v>0</v>
      </c>
      <c r="FP18" s="23">
        <v>2</v>
      </c>
      <c r="FQ18" s="23">
        <v>1</v>
      </c>
      <c r="FR18" s="23">
        <v>0</v>
      </c>
      <c r="FS18" s="23">
        <v>0</v>
      </c>
      <c r="FT18" s="23">
        <v>0</v>
      </c>
      <c r="FU18" s="23">
        <v>0</v>
      </c>
      <c r="FV18" s="23">
        <v>0</v>
      </c>
      <c r="FW18" s="23">
        <v>0</v>
      </c>
      <c r="FX18" s="23">
        <v>0</v>
      </c>
      <c r="FY18" s="23">
        <v>0</v>
      </c>
      <c r="FZ18" s="23">
        <v>0</v>
      </c>
      <c r="GA18" s="23">
        <v>0</v>
      </c>
      <c r="GB18" s="23">
        <v>0</v>
      </c>
      <c r="GC18" s="23">
        <v>0</v>
      </c>
      <c r="GD18" s="23">
        <v>0</v>
      </c>
      <c r="GE18" s="23">
        <v>0</v>
      </c>
      <c r="GF18" s="23">
        <v>0</v>
      </c>
    </row>
    <row r="19" spans="1:189" x14ac:dyDescent="0.2">
      <c r="A19" s="18" t="s">
        <v>251</v>
      </c>
      <c r="B19" t="s">
        <v>252</v>
      </c>
      <c r="C19" t="s">
        <v>342</v>
      </c>
      <c r="D19" t="s">
        <v>254</v>
      </c>
      <c r="E19">
        <v>2</v>
      </c>
      <c r="F19">
        <v>0</v>
      </c>
      <c r="G19">
        <v>2</v>
      </c>
      <c r="H19">
        <v>0</v>
      </c>
      <c r="I19">
        <v>0</v>
      </c>
      <c r="K19">
        <v>79</v>
      </c>
      <c r="M19">
        <v>46</v>
      </c>
      <c r="N19">
        <v>33</v>
      </c>
      <c r="O19">
        <v>0</v>
      </c>
      <c r="P19">
        <v>79</v>
      </c>
      <c r="Q19" t="s">
        <v>210</v>
      </c>
      <c r="R19" t="s">
        <v>173</v>
      </c>
      <c r="S19">
        <v>65</v>
      </c>
      <c r="T19">
        <v>4</v>
      </c>
      <c r="V19">
        <v>29</v>
      </c>
      <c r="W19">
        <v>31</v>
      </c>
      <c r="X19">
        <v>3</v>
      </c>
      <c r="Y19">
        <v>2</v>
      </c>
      <c r="Z19">
        <v>65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</v>
      </c>
      <c r="AH19">
        <v>28</v>
      </c>
      <c r="AI19">
        <v>28</v>
      </c>
      <c r="AJ19">
        <v>6</v>
      </c>
      <c r="AK19">
        <v>0</v>
      </c>
      <c r="AL19">
        <v>0</v>
      </c>
      <c r="AM19">
        <v>0</v>
      </c>
      <c r="AN19">
        <v>65</v>
      </c>
      <c r="AP19">
        <v>14</v>
      </c>
      <c r="AQ19">
        <v>33</v>
      </c>
      <c r="AR19">
        <v>16</v>
      </c>
      <c r="AS19">
        <v>2</v>
      </c>
      <c r="AT19">
        <v>0</v>
      </c>
      <c r="AU19">
        <v>65</v>
      </c>
      <c r="AW19" t="s">
        <v>255</v>
      </c>
      <c r="AX19" t="s">
        <v>256</v>
      </c>
      <c r="AZ19">
        <v>49</v>
      </c>
      <c r="BA19">
        <v>0</v>
      </c>
      <c r="BB19">
        <v>0</v>
      </c>
      <c r="BC19">
        <v>3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5</v>
      </c>
      <c r="BT19">
        <v>0</v>
      </c>
      <c r="BU19">
        <v>0</v>
      </c>
      <c r="BV19">
        <v>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2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0</v>
      </c>
      <c r="FI19">
        <v>0</v>
      </c>
      <c r="FJ19">
        <v>0</v>
      </c>
      <c r="FK19">
        <v>0</v>
      </c>
      <c r="FL19" s="23">
        <v>0</v>
      </c>
      <c r="FM19">
        <v>0</v>
      </c>
      <c r="FN19" s="23">
        <v>1</v>
      </c>
      <c r="FO19" s="23">
        <v>0</v>
      </c>
      <c r="FP19" s="23">
        <v>0</v>
      </c>
      <c r="FQ19" s="23">
        <v>0</v>
      </c>
      <c r="FR19" s="23">
        <v>0</v>
      </c>
      <c r="FS19" s="23">
        <v>0</v>
      </c>
      <c r="FT19" s="23">
        <v>0</v>
      </c>
      <c r="FU19" s="23">
        <v>0</v>
      </c>
      <c r="FV19" s="23">
        <v>2</v>
      </c>
      <c r="FW19" s="23">
        <v>0</v>
      </c>
      <c r="FX19" s="23">
        <v>1</v>
      </c>
      <c r="FY19" s="23">
        <v>0</v>
      </c>
      <c r="FZ19" s="23">
        <v>0</v>
      </c>
      <c r="GA19" s="23">
        <v>1</v>
      </c>
      <c r="GB19" s="23">
        <v>0</v>
      </c>
      <c r="GC19" s="23">
        <v>0</v>
      </c>
      <c r="GD19" s="23">
        <v>0</v>
      </c>
      <c r="GE19" s="23">
        <v>0</v>
      </c>
      <c r="GF19" s="23">
        <v>0</v>
      </c>
    </row>
    <row r="20" spans="1:189" x14ac:dyDescent="0.2">
      <c r="A20" s="19">
        <v>12</v>
      </c>
      <c r="B20" t="s">
        <v>261</v>
      </c>
      <c r="C20" t="s">
        <v>262</v>
      </c>
      <c r="D20" t="s">
        <v>263</v>
      </c>
      <c r="E20">
        <v>3</v>
      </c>
      <c r="F20">
        <v>3</v>
      </c>
      <c r="G20">
        <v>0</v>
      </c>
      <c r="H20">
        <v>0</v>
      </c>
      <c r="I20">
        <v>0</v>
      </c>
      <c r="K20">
        <v>73</v>
      </c>
      <c r="M20">
        <v>40</v>
      </c>
      <c r="N20">
        <v>33</v>
      </c>
      <c r="O20">
        <v>0</v>
      </c>
      <c r="P20">
        <v>73</v>
      </c>
      <c r="Q20" t="s">
        <v>172</v>
      </c>
      <c r="R20" t="s">
        <v>173</v>
      </c>
      <c r="S20">
        <v>56</v>
      </c>
      <c r="T20">
        <v>3</v>
      </c>
      <c r="V20">
        <v>35</v>
      </c>
      <c r="W20">
        <v>19</v>
      </c>
      <c r="X20">
        <v>1</v>
      </c>
      <c r="Y20">
        <v>1</v>
      </c>
      <c r="Z20">
        <v>56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7</v>
      </c>
      <c r="AI20">
        <v>47</v>
      </c>
      <c r="AJ20">
        <v>1</v>
      </c>
      <c r="AK20">
        <v>0</v>
      </c>
      <c r="AL20">
        <v>0</v>
      </c>
      <c r="AM20">
        <v>0</v>
      </c>
      <c r="AN20">
        <v>56</v>
      </c>
      <c r="AP20">
        <v>34</v>
      </c>
      <c r="AQ20">
        <v>20</v>
      </c>
      <c r="AR20">
        <v>1</v>
      </c>
      <c r="AS20">
        <v>1</v>
      </c>
      <c r="AT20">
        <v>0</v>
      </c>
      <c r="AU20">
        <v>56</v>
      </c>
      <c r="AW20" t="s">
        <v>264</v>
      </c>
      <c r="AX20" t="s">
        <v>267</v>
      </c>
      <c r="AZ20">
        <v>70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0</v>
      </c>
      <c r="FM20">
        <v>1</v>
      </c>
      <c r="FN20" s="23">
        <v>0</v>
      </c>
      <c r="FO20" s="23">
        <v>0</v>
      </c>
      <c r="FP20" s="23">
        <v>0</v>
      </c>
      <c r="FQ20" s="23">
        <v>0</v>
      </c>
      <c r="FR20" s="23">
        <v>0</v>
      </c>
      <c r="FS20" s="23">
        <v>0</v>
      </c>
      <c r="FT20" s="23">
        <v>0</v>
      </c>
      <c r="FU20" s="23">
        <v>0</v>
      </c>
      <c r="FV20" s="23">
        <v>0</v>
      </c>
      <c r="FW20" s="23">
        <v>0</v>
      </c>
      <c r="FX20" s="23">
        <v>0</v>
      </c>
      <c r="FY20" s="23">
        <v>0</v>
      </c>
      <c r="FZ20" s="23">
        <v>0</v>
      </c>
      <c r="GA20" s="23">
        <v>0</v>
      </c>
      <c r="GB20" s="23">
        <v>0</v>
      </c>
      <c r="GC20" s="23">
        <v>0</v>
      </c>
      <c r="GD20" s="23">
        <v>0</v>
      </c>
      <c r="GE20" s="23">
        <v>0</v>
      </c>
      <c r="GF20" s="23">
        <v>0</v>
      </c>
      <c r="GG20" s="23"/>
    </row>
    <row r="21" spans="1:189" x14ac:dyDescent="0.2">
      <c r="A21" s="19">
        <v>13</v>
      </c>
      <c r="B21" t="s">
        <v>270</v>
      </c>
      <c r="C21" t="s">
        <v>262</v>
      </c>
      <c r="D21" t="s">
        <v>263</v>
      </c>
      <c r="E21">
        <v>3</v>
      </c>
      <c r="F21">
        <v>3</v>
      </c>
      <c r="G21">
        <v>0</v>
      </c>
      <c r="H21">
        <v>0</v>
      </c>
      <c r="I21">
        <v>0</v>
      </c>
      <c r="K21">
        <v>76</v>
      </c>
      <c r="M21">
        <v>40</v>
      </c>
      <c r="N21">
        <v>36</v>
      </c>
      <c r="O21">
        <v>0</v>
      </c>
      <c r="P21">
        <v>76</v>
      </c>
      <c r="Q21" t="s">
        <v>172</v>
      </c>
      <c r="R21" t="s">
        <v>173</v>
      </c>
      <c r="S21">
        <v>28</v>
      </c>
      <c r="T21">
        <v>1</v>
      </c>
      <c r="V21">
        <v>16</v>
      </c>
      <c r="W21">
        <v>12</v>
      </c>
      <c r="X21">
        <v>0</v>
      </c>
      <c r="Y21">
        <v>0</v>
      </c>
      <c r="Z21">
        <v>28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25</v>
      </c>
      <c r="AJ21">
        <v>1</v>
      </c>
      <c r="AK21">
        <v>0</v>
      </c>
      <c r="AL21">
        <v>0</v>
      </c>
      <c r="AM21">
        <v>0</v>
      </c>
      <c r="AN21">
        <v>28</v>
      </c>
      <c r="AP21">
        <v>18</v>
      </c>
      <c r="AQ21">
        <v>10</v>
      </c>
      <c r="AR21">
        <v>0</v>
      </c>
      <c r="AS21">
        <v>0</v>
      </c>
      <c r="AT21">
        <v>0</v>
      </c>
      <c r="AU21">
        <v>28</v>
      </c>
      <c r="AW21" t="s">
        <v>271</v>
      </c>
      <c r="AX21" t="s">
        <v>272</v>
      </c>
      <c r="AZ21">
        <v>71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 s="23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 s="23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</row>
    <row r="22" spans="1:189" x14ac:dyDescent="0.2">
      <c r="A22" s="18" t="s">
        <v>275</v>
      </c>
      <c r="B22" t="s">
        <v>276</v>
      </c>
      <c r="C22" t="s">
        <v>277</v>
      </c>
      <c r="D22" t="s">
        <v>278</v>
      </c>
      <c r="E22">
        <v>3</v>
      </c>
      <c r="F22">
        <v>3</v>
      </c>
      <c r="G22">
        <v>0</v>
      </c>
      <c r="H22">
        <v>0</v>
      </c>
      <c r="I22">
        <v>0</v>
      </c>
      <c r="K22">
        <v>76</v>
      </c>
      <c r="M22">
        <v>44</v>
      </c>
      <c r="N22">
        <v>32</v>
      </c>
      <c r="O22">
        <v>0</v>
      </c>
      <c r="P22">
        <v>76</v>
      </c>
      <c r="Q22" t="s">
        <v>210</v>
      </c>
      <c r="R22" t="s">
        <v>173</v>
      </c>
      <c r="S22">
        <v>56</v>
      </c>
      <c r="T22">
        <v>3</v>
      </c>
      <c r="V22">
        <v>30</v>
      </c>
      <c r="W22">
        <v>26</v>
      </c>
      <c r="X22">
        <v>0</v>
      </c>
      <c r="Y22">
        <v>0</v>
      </c>
      <c r="Z22">
        <v>56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</v>
      </c>
      <c r="AH22">
        <v>42</v>
      </c>
      <c r="AI22">
        <v>4</v>
      </c>
      <c r="AJ22">
        <v>0</v>
      </c>
      <c r="AK22">
        <v>0</v>
      </c>
      <c r="AL22">
        <v>0</v>
      </c>
      <c r="AM22">
        <v>0</v>
      </c>
      <c r="AN22">
        <v>56</v>
      </c>
      <c r="AP22">
        <v>22</v>
      </c>
      <c r="AQ22">
        <v>22</v>
      </c>
      <c r="AR22">
        <v>12</v>
      </c>
      <c r="AS22">
        <v>0</v>
      </c>
      <c r="AT22">
        <v>0</v>
      </c>
      <c r="AU22">
        <v>56</v>
      </c>
      <c r="AW22" t="s">
        <v>279</v>
      </c>
      <c r="AX22" t="s">
        <v>280</v>
      </c>
      <c r="AZ22">
        <v>73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 s="23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 s="23">
        <v>0</v>
      </c>
      <c r="GD22" s="23">
        <v>0</v>
      </c>
      <c r="GE22" s="23">
        <v>0</v>
      </c>
      <c r="GF22" s="23">
        <v>0</v>
      </c>
    </row>
    <row r="23" spans="1:189" x14ac:dyDescent="0.2">
      <c r="A23" s="24">
        <v>15</v>
      </c>
      <c r="B23" t="s">
        <v>286</v>
      </c>
      <c r="C23" t="s">
        <v>277</v>
      </c>
      <c r="D23" t="s">
        <v>278</v>
      </c>
      <c r="E23">
        <v>3</v>
      </c>
      <c r="F23">
        <v>3</v>
      </c>
      <c r="G23">
        <v>0</v>
      </c>
      <c r="H23">
        <v>0</v>
      </c>
      <c r="I23">
        <v>0</v>
      </c>
      <c r="K23">
        <v>71</v>
      </c>
      <c r="M23">
        <v>39</v>
      </c>
      <c r="N23">
        <v>32</v>
      </c>
      <c r="O23">
        <v>0</v>
      </c>
      <c r="P23">
        <v>71</v>
      </c>
      <c r="Q23" t="s">
        <v>210</v>
      </c>
      <c r="R23" t="s">
        <v>287</v>
      </c>
      <c r="AW23" t="s">
        <v>288</v>
      </c>
      <c r="AX23" t="s">
        <v>289</v>
      </c>
      <c r="AZ23">
        <v>69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</v>
      </c>
      <c r="FL23" s="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 s="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</row>
    <row r="24" spans="1:189" x14ac:dyDescent="0.2">
      <c r="A24" s="18" t="s">
        <v>294</v>
      </c>
      <c r="B24" t="s">
        <v>295</v>
      </c>
      <c r="C24" t="s">
        <v>296</v>
      </c>
      <c r="D24" t="s">
        <v>297</v>
      </c>
      <c r="E24">
        <v>3</v>
      </c>
      <c r="F24">
        <v>0</v>
      </c>
      <c r="G24">
        <v>3</v>
      </c>
      <c r="H24">
        <v>0</v>
      </c>
      <c r="I24">
        <v>0</v>
      </c>
      <c r="K24">
        <v>50</v>
      </c>
      <c r="M24">
        <v>0</v>
      </c>
      <c r="N24">
        <v>50</v>
      </c>
      <c r="O24">
        <v>0</v>
      </c>
      <c r="P24">
        <v>50</v>
      </c>
      <c r="Q24" t="s">
        <v>210</v>
      </c>
      <c r="R24" t="s">
        <v>173</v>
      </c>
      <c r="S24">
        <v>49</v>
      </c>
      <c r="T24">
        <v>3</v>
      </c>
      <c r="V24">
        <v>0</v>
      </c>
      <c r="W24">
        <v>49</v>
      </c>
      <c r="X24">
        <v>0</v>
      </c>
      <c r="Y24">
        <v>0</v>
      </c>
      <c r="Z24">
        <v>49</v>
      </c>
      <c r="AB24">
        <v>0</v>
      </c>
      <c r="AC24">
        <v>0</v>
      </c>
      <c r="AD24">
        <v>4</v>
      </c>
      <c r="AE24">
        <v>14</v>
      </c>
      <c r="AF24">
        <v>26</v>
      </c>
      <c r="AG24">
        <v>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49</v>
      </c>
      <c r="AP24">
        <v>24</v>
      </c>
      <c r="AQ24">
        <v>21</v>
      </c>
      <c r="AR24">
        <v>4</v>
      </c>
      <c r="AS24">
        <v>0</v>
      </c>
      <c r="AT24">
        <v>0</v>
      </c>
      <c r="AU24">
        <v>49</v>
      </c>
      <c r="AW24" t="s">
        <v>298</v>
      </c>
      <c r="AX24" t="s">
        <v>299</v>
      </c>
      <c r="AZ24">
        <v>38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2</v>
      </c>
      <c r="FO24">
        <v>0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 s="23">
        <v>0</v>
      </c>
      <c r="FX24">
        <v>0</v>
      </c>
      <c r="FY24">
        <v>0</v>
      </c>
      <c r="FZ24">
        <v>1</v>
      </c>
      <c r="GA24">
        <v>0</v>
      </c>
      <c r="GB24">
        <v>0</v>
      </c>
      <c r="GC24" s="23">
        <v>0</v>
      </c>
      <c r="GD24" s="23">
        <v>0</v>
      </c>
      <c r="GE24" s="23">
        <v>0</v>
      </c>
      <c r="GF24" s="23">
        <v>0</v>
      </c>
    </row>
    <row r="25" spans="1:189" x14ac:dyDescent="0.2">
      <c r="A25" s="25">
        <v>17</v>
      </c>
      <c r="B25" t="s">
        <v>304</v>
      </c>
      <c r="C25" t="s">
        <v>305</v>
      </c>
      <c r="D25" t="s">
        <v>306</v>
      </c>
      <c r="E25">
        <v>3</v>
      </c>
      <c r="F25">
        <v>0</v>
      </c>
      <c r="G25">
        <v>3</v>
      </c>
      <c r="H25">
        <v>0</v>
      </c>
      <c r="I25">
        <v>0</v>
      </c>
      <c r="K25">
        <v>69</v>
      </c>
      <c r="M25">
        <v>35</v>
      </c>
      <c r="N25">
        <v>34</v>
      </c>
      <c r="O25">
        <v>0</v>
      </c>
      <c r="P25">
        <v>69</v>
      </c>
      <c r="Q25" t="s">
        <v>210</v>
      </c>
      <c r="R25" t="s">
        <v>173</v>
      </c>
      <c r="S25">
        <v>59</v>
      </c>
      <c r="T25">
        <v>5</v>
      </c>
      <c r="V25">
        <v>31</v>
      </c>
      <c r="W25">
        <v>28</v>
      </c>
      <c r="X25">
        <v>0</v>
      </c>
      <c r="Y25">
        <v>0</v>
      </c>
      <c r="Z25">
        <v>59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13</v>
      </c>
      <c r="AI25">
        <v>20</v>
      </c>
      <c r="AJ25">
        <v>24</v>
      </c>
      <c r="AK25">
        <v>1</v>
      </c>
      <c r="AL25">
        <v>0</v>
      </c>
      <c r="AM25">
        <v>0</v>
      </c>
      <c r="AN25">
        <v>59</v>
      </c>
      <c r="AP25">
        <v>34</v>
      </c>
      <c r="AQ25">
        <v>24</v>
      </c>
      <c r="AR25">
        <v>1</v>
      </c>
      <c r="AS25">
        <v>0</v>
      </c>
      <c r="AT25">
        <v>0</v>
      </c>
      <c r="AU25">
        <v>59</v>
      </c>
      <c r="AW25" t="s">
        <v>307</v>
      </c>
      <c r="AX25" t="s">
        <v>308</v>
      </c>
      <c r="AZ25">
        <v>64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</v>
      </c>
      <c r="FK25">
        <v>0</v>
      </c>
      <c r="FL25" s="23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 s="23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</row>
    <row r="27" spans="1:189" x14ac:dyDescent="0.2">
      <c r="B27" s="22">
        <v>45413</v>
      </c>
    </row>
    <row r="28" spans="1:189" x14ac:dyDescent="0.2">
      <c r="A28" s="18" t="s">
        <v>312</v>
      </c>
      <c r="B28" t="s">
        <v>313</v>
      </c>
      <c r="C28" t="s">
        <v>314</v>
      </c>
      <c r="D28" t="s">
        <v>315</v>
      </c>
      <c r="E28">
        <v>2</v>
      </c>
      <c r="F28">
        <v>2</v>
      </c>
      <c r="G28">
        <v>0</v>
      </c>
      <c r="H28">
        <v>0</v>
      </c>
      <c r="I28">
        <v>0</v>
      </c>
      <c r="K28">
        <v>80</v>
      </c>
      <c r="M28">
        <v>41</v>
      </c>
      <c r="N28">
        <v>39</v>
      </c>
      <c r="O28">
        <v>0</v>
      </c>
      <c r="P28">
        <v>80</v>
      </c>
      <c r="Q28" t="s">
        <v>210</v>
      </c>
      <c r="R28" t="s">
        <v>173</v>
      </c>
      <c r="S28">
        <v>68</v>
      </c>
      <c r="T28">
        <v>2</v>
      </c>
      <c r="V28">
        <v>32</v>
      </c>
      <c r="W28">
        <v>32</v>
      </c>
      <c r="X28">
        <v>2</v>
      </c>
      <c r="Y28">
        <v>2</v>
      </c>
      <c r="Z28">
        <v>68</v>
      </c>
      <c r="AB28">
        <v>2</v>
      </c>
      <c r="AC28">
        <v>0</v>
      </c>
      <c r="AD28">
        <v>0</v>
      </c>
      <c r="AE28">
        <v>4</v>
      </c>
      <c r="AF28">
        <v>33</v>
      </c>
      <c r="AG28">
        <v>27</v>
      </c>
      <c r="AH28">
        <v>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68</v>
      </c>
      <c r="AP28">
        <v>15</v>
      </c>
      <c r="AQ28">
        <v>32</v>
      </c>
      <c r="AR28">
        <v>15</v>
      </c>
      <c r="AS28">
        <v>6</v>
      </c>
      <c r="AT28">
        <v>0</v>
      </c>
      <c r="AU28">
        <v>68</v>
      </c>
      <c r="AW28" t="s">
        <v>317</v>
      </c>
      <c r="AX28" t="s">
        <v>316</v>
      </c>
      <c r="AZ28">
        <v>62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2</v>
      </c>
      <c r="BS28">
        <v>1</v>
      </c>
      <c r="BT28">
        <v>0</v>
      </c>
      <c r="BU28">
        <v>0</v>
      </c>
      <c r="BV28">
        <v>2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1</v>
      </c>
      <c r="FL28">
        <v>0</v>
      </c>
      <c r="FM28">
        <v>0</v>
      </c>
      <c r="FN28">
        <v>2</v>
      </c>
      <c r="FO28">
        <v>0</v>
      </c>
      <c r="FP28">
        <v>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 s="23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</row>
    <row r="29" spans="1:189" x14ac:dyDescent="0.2">
      <c r="A29" s="24">
        <v>19</v>
      </c>
      <c r="B29" t="s">
        <v>322</v>
      </c>
      <c r="C29" t="s">
        <v>323</v>
      </c>
      <c r="D29" t="s">
        <v>324</v>
      </c>
      <c r="E29">
        <v>2</v>
      </c>
      <c r="F29">
        <v>2</v>
      </c>
      <c r="G29">
        <v>0</v>
      </c>
      <c r="H29">
        <v>0</v>
      </c>
      <c r="I29">
        <v>0</v>
      </c>
      <c r="K29">
        <v>57</v>
      </c>
      <c r="M29">
        <v>25</v>
      </c>
      <c r="N29">
        <v>32</v>
      </c>
      <c r="O29">
        <v>0</v>
      </c>
      <c r="P29">
        <v>57</v>
      </c>
      <c r="Q29" t="s">
        <v>210</v>
      </c>
      <c r="R29" t="s">
        <v>287</v>
      </c>
      <c r="AW29" t="s">
        <v>325</v>
      </c>
      <c r="AX29" t="s">
        <v>326</v>
      </c>
      <c r="AZ29">
        <v>49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 s="23">
        <v>1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</row>
    <row r="31" spans="1:189" x14ac:dyDescent="0.2">
      <c r="B31" s="22">
        <v>45444</v>
      </c>
    </row>
    <row r="32" spans="1:189" s="27" customFormat="1" x14ac:dyDescent="0.2">
      <c r="A32" s="26">
        <v>20</v>
      </c>
      <c r="B32" s="27" t="s">
        <v>333</v>
      </c>
      <c r="C32" s="27" t="s">
        <v>334</v>
      </c>
      <c r="D32" s="27" t="s">
        <v>335</v>
      </c>
      <c r="E32" s="27">
        <v>1</v>
      </c>
      <c r="F32" s="27">
        <v>0</v>
      </c>
      <c r="G32" s="27">
        <v>0</v>
      </c>
      <c r="H32" s="27">
        <v>0</v>
      </c>
      <c r="I32" s="27">
        <v>1</v>
      </c>
      <c r="K32" s="27">
        <v>53</v>
      </c>
      <c r="M32" s="27">
        <v>48</v>
      </c>
      <c r="N32" s="27">
        <v>5</v>
      </c>
      <c r="O32" s="27">
        <v>0</v>
      </c>
      <c r="P32" s="27">
        <v>53</v>
      </c>
      <c r="Q32" s="27" t="s">
        <v>336</v>
      </c>
      <c r="R32" s="27" t="s">
        <v>173</v>
      </c>
      <c r="S32" s="27">
        <v>32</v>
      </c>
      <c r="T32" s="27">
        <v>12</v>
      </c>
      <c r="V32" s="27">
        <v>26</v>
      </c>
      <c r="W32" s="27">
        <v>5</v>
      </c>
      <c r="X32" s="27">
        <v>1</v>
      </c>
      <c r="Y32" s="27">
        <v>0</v>
      </c>
      <c r="Z32" s="27">
        <v>32</v>
      </c>
      <c r="AB32" s="27">
        <v>1</v>
      </c>
      <c r="AC32" s="27">
        <v>0</v>
      </c>
      <c r="AD32" s="27">
        <v>0</v>
      </c>
      <c r="AE32" s="27">
        <v>3</v>
      </c>
      <c r="AF32" s="27">
        <v>6</v>
      </c>
      <c r="AG32" s="27">
        <v>11</v>
      </c>
      <c r="AH32" s="27">
        <v>0</v>
      </c>
      <c r="AI32" s="27">
        <v>3</v>
      </c>
      <c r="AJ32" s="27">
        <v>6</v>
      </c>
      <c r="AK32" s="27">
        <v>2</v>
      </c>
      <c r="AL32" s="27">
        <v>0</v>
      </c>
      <c r="AM32" s="27">
        <v>0</v>
      </c>
      <c r="AN32" s="27">
        <v>32</v>
      </c>
      <c r="AP32" s="27">
        <v>13</v>
      </c>
      <c r="AQ32" s="27">
        <v>3</v>
      </c>
      <c r="AR32" s="27">
        <v>13</v>
      </c>
      <c r="AS32" s="27">
        <v>2</v>
      </c>
      <c r="AT32" s="27">
        <v>1</v>
      </c>
      <c r="AU32" s="27">
        <v>32</v>
      </c>
      <c r="AW32" s="27" t="s">
        <v>337</v>
      </c>
      <c r="AZ32" s="27">
        <v>0</v>
      </c>
      <c r="BA32" s="27">
        <v>52</v>
      </c>
      <c r="BB32" s="27">
        <v>0</v>
      </c>
      <c r="BC32" s="27">
        <v>0</v>
      </c>
      <c r="BD32" s="27">
        <v>1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  <c r="BQ32" s="27">
        <v>0</v>
      </c>
      <c r="BR32" s="27">
        <v>0</v>
      </c>
      <c r="BS32" s="27">
        <v>0</v>
      </c>
      <c r="BT32" s="27">
        <v>0</v>
      </c>
      <c r="BU32" s="27">
        <v>0</v>
      </c>
      <c r="BV32" s="27">
        <v>0</v>
      </c>
      <c r="BW32" s="27">
        <v>0</v>
      </c>
      <c r="BX32" s="27">
        <v>0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0</v>
      </c>
      <c r="CF32" s="27">
        <v>0</v>
      </c>
      <c r="CG32" s="27">
        <v>0</v>
      </c>
      <c r="CH32" s="27">
        <v>0</v>
      </c>
      <c r="CI32" s="27">
        <v>0</v>
      </c>
      <c r="CJ32" s="27">
        <v>0</v>
      </c>
      <c r="CK32" s="27">
        <v>0</v>
      </c>
      <c r="CL32" s="27">
        <v>0</v>
      </c>
      <c r="CM32" s="27">
        <v>0</v>
      </c>
      <c r="CN32" s="27">
        <v>0</v>
      </c>
      <c r="CO32" s="27">
        <v>0</v>
      </c>
      <c r="CP32" s="27">
        <v>0</v>
      </c>
      <c r="CQ32" s="27">
        <v>0</v>
      </c>
      <c r="CR32" s="27">
        <v>0</v>
      </c>
      <c r="CS32" s="27">
        <v>0</v>
      </c>
      <c r="CT32" s="27">
        <v>0</v>
      </c>
      <c r="CU32" s="27">
        <v>0</v>
      </c>
      <c r="CV32" s="27">
        <v>0</v>
      </c>
      <c r="CW32" s="27">
        <v>0</v>
      </c>
      <c r="CX32" s="27">
        <v>0</v>
      </c>
      <c r="CY32" s="27">
        <v>0</v>
      </c>
      <c r="CZ32" s="27">
        <v>0</v>
      </c>
      <c r="DA32" s="27">
        <v>0</v>
      </c>
      <c r="DB32" s="27">
        <v>0</v>
      </c>
      <c r="DC32" s="27">
        <v>0</v>
      </c>
      <c r="DD32" s="27">
        <v>0</v>
      </c>
      <c r="DE32" s="27">
        <v>0</v>
      </c>
      <c r="DF32" s="27">
        <v>0</v>
      </c>
      <c r="DG32" s="27">
        <v>0</v>
      </c>
      <c r="DH32" s="27">
        <v>0</v>
      </c>
      <c r="DI32" s="27">
        <v>0</v>
      </c>
      <c r="DJ32" s="27">
        <v>0</v>
      </c>
      <c r="DK32" s="27">
        <v>0</v>
      </c>
      <c r="DL32" s="27">
        <v>0</v>
      </c>
      <c r="DM32" s="27">
        <v>0</v>
      </c>
      <c r="DN32" s="27">
        <v>0</v>
      </c>
      <c r="DO32" s="27">
        <v>0</v>
      </c>
      <c r="DP32" s="27">
        <v>0</v>
      </c>
      <c r="DQ32" s="27">
        <v>0</v>
      </c>
      <c r="DR32" s="27">
        <v>0</v>
      </c>
      <c r="DS32" s="27">
        <v>0</v>
      </c>
      <c r="DT32" s="27">
        <v>0</v>
      </c>
      <c r="DU32" s="27">
        <v>0</v>
      </c>
      <c r="DV32" s="27">
        <v>0</v>
      </c>
      <c r="DW32" s="27">
        <v>0</v>
      </c>
      <c r="DX32" s="27">
        <v>0</v>
      </c>
      <c r="DY32" s="27">
        <v>0</v>
      </c>
      <c r="DZ32" s="27">
        <v>0</v>
      </c>
      <c r="EA32" s="27">
        <v>0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7">
        <v>0</v>
      </c>
      <c r="EI32" s="27">
        <v>0</v>
      </c>
      <c r="EJ32" s="27">
        <v>0</v>
      </c>
      <c r="EK32" s="27">
        <v>0</v>
      </c>
      <c r="EL32" s="27">
        <v>0</v>
      </c>
      <c r="EM32" s="27">
        <v>0</v>
      </c>
      <c r="EN32" s="27">
        <v>0</v>
      </c>
      <c r="EO32" s="27">
        <v>0</v>
      </c>
      <c r="EP32" s="27">
        <v>0</v>
      </c>
      <c r="EQ32" s="27">
        <v>0</v>
      </c>
      <c r="ER32" s="27">
        <v>0</v>
      </c>
      <c r="ES32" s="27">
        <v>0</v>
      </c>
      <c r="ET32" s="27">
        <v>0</v>
      </c>
      <c r="EU32" s="27">
        <v>0</v>
      </c>
      <c r="EV32" s="27">
        <v>0</v>
      </c>
      <c r="EW32" s="27">
        <v>0</v>
      </c>
      <c r="EX32" s="27">
        <v>0</v>
      </c>
      <c r="EY32" s="27">
        <v>0</v>
      </c>
      <c r="EZ32" s="27">
        <v>0</v>
      </c>
      <c r="FA32" s="27">
        <v>0</v>
      </c>
      <c r="FB32" s="27">
        <v>0</v>
      </c>
      <c r="FC32" s="27">
        <v>0</v>
      </c>
      <c r="FD32" s="27">
        <v>0</v>
      </c>
      <c r="FE32" s="27">
        <v>0</v>
      </c>
      <c r="FF32" s="27">
        <v>0</v>
      </c>
      <c r="FG32" s="27">
        <v>0</v>
      </c>
      <c r="FH32" s="27">
        <v>0</v>
      </c>
      <c r="FI32" s="27">
        <v>0</v>
      </c>
      <c r="FJ32" s="27">
        <v>0</v>
      </c>
      <c r="FK32" s="27">
        <v>0</v>
      </c>
      <c r="FL32" s="27">
        <v>0</v>
      </c>
      <c r="FM32" s="27">
        <v>0</v>
      </c>
      <c r="FN32" s="27">
        <v>0</v>
      </c>
      <c r="FO32" s="27">
        <v>0</v>
      </c>
      <c r="FP32" s="27">
        <v>0</v>
      </c>
      <c r="FQ32" s="27">
        <v>0</v>
      </c>
      <c r="FR32" s="27">
        <v>0</v>
      </c>
      <c r="FS32" s="27">
        <v>0</v>
      </c>
      <c r="FT32" s="27">
        <v>0</v>
      </c>
      <c r="FU32" s="27">
        <v>0</v>
      </c>
      <c r="FV32" s="27">
        <v>0</v>
      </c>
      <c r="FW32" s="27">
        <v>0</v>
      </c>
      <c r="FX32" s="27">
        <v>0</v>
      </c>
      <c r="FY32" s="27">
        <v>0</v>
      </c>
      <c r="FZ32" s="27">
        <v>0</v>
      </c>
      <c r="GA32" s="27">
        <v>0</v>
      </c>
      <c r="GB32" s="27">
        <v>0</v>
      </c>
      <c r="GC32" s="27">
        <v>0</v>
      </c>
      <c r="GD32" s="27">
        <v>0</v>
      </c>
      <c r="GE32" s="27">
        <v>0</v>
      </c>
      <c r="GF32" s="27">
        <v>0</v>
      </c>
    </row>
    <row r="34" spans="1:191" s="29" customFormat="1" ht="17" thickBot="1" x14ac:dyDescent="0.25">
      <c r="A34" s="28"/>
      <c r="E34" s="29">
        <f>SUM(E5:E33)</f>
        <v>54</v>
      </c>
      <c r="F34" s="29">
        <f>SUM(F5:F33)</f>
        <v>28</v>
      </c>
      <c r="G34" s="29">
        <f>SUM(G5:G33)</f>
        <v>25</v>
      </c>
      <c r="H34" s="29">
        <f>SUM(H5:H33)</f>
        <v>0</v>
      </c>
      <c r="I34" s="29">
        <f>SUM(I5:I33)</f>
        <v>1</v>
      </c>
      <c r="K34" s="29">
        <f>SUM(K2:K33)</f>
        <v>1313</v>
      </c>
      <c r="M34" s="29">
        <f>SUM(M5:M33)</f>
        <v>855</v>
      </c>
      <c r="N34" s="29">
        <f>SUM(N5:N33)</f>
        <v>458</v>
      </c>
      <c r="O34" s="29">
        <f>SUM(O5:O33)</f>
        <v>0</v>
      </c>
      <c r="P34" s="29">
        <f>SUM(P5:P33)</f>
        <v>1313</v>
      </c>
      <c r="S34" s="29">
        <f>SUM(S5:S33)</f>
        <v>842</v>
      </c>
      <c r="T34" s="29">
        <f>SUM(T5:T33)</f>
        <v>49</v>
      </c>
      <c r="V34" s="29">
        <f>SUM(V5:V33)</f>
        <v>550</v>
      </c>
      <c r="W34" s="29">
        <f>SUM(W5:W33)</f>
        <v>272</v>
      </c>
      <c r="X34" s="29">
        <f>SUM(X5:X33)</f>
        <v>11</v>
      </c>
      <c r="Y34" s="29">
        <f>SUM(Y5:Y33)</f>
        <v>9</v>
      </c>
      <c r="Z34" s="29">
        <f>SUM(Z5:Z33)</f>
        <v>842</v>
      </c>
      <c r="AB34" s="29">
        <f t="shared" ref="AB34:AM34" si="0">SUM(AB5:AB33)</f>
        <v>8</v>
      </c>
      <c r="AC34" s="29">
        <f t="shared" si="0"/>
        <v>0</v>
      </c>
      <c r="AD34" s="29">
        <f t="shared" si="0"/>
        <v>4</v>
      </c>
      <c r="AE34" s="29">
        <f t="shared" si="0"/>
        <v>44</v>
      </c>
      <c r="AF34" s="29">
        <f t="shared" si="0"/>
        <v>68</v>
      </c>
      <c r="AG34" s="29">
        <f t="shared" si="0"/>
        <v>67</v>
      </c>
      <c r="AH34" s="29">
        <f t="shared" si="0"/>
        <v>235</v>
      </c>
      <c r="AI34" s="29">
        <f t="shared" si="0"/>
        <v>268</v>
      </c>
      <c r="AJ34" s="29">
        <f t="shared" si="0"/>
        <v>60</v>
      </c>
      <c r="AK34" s="29">
        <f t="shared" si="0"/>
        <v>84</v>
      </c>
      <c r="AL34" s="29">
        <f t="shared" si="0"/>
        <v>4</v>
      </c>
      <c r="AM34" s="29">
        <f t="shared" si="0"/>
        <v>0</v>
      </c>
      <c r="AN34" s="29">
        <f>SUM(AN4:AN33)</f>
        <v>842</v>
      </c>
      <c r="AP34" s="29">
        <f t="shared" ref="AP34:AU34" si="1">SUM(AP5:AP33)</f>
        <v>393</v>
      </c>
      <c r="AQ34" s="29">
        <f t="shared" si="1"/>
        <v>317</v>
      </c>
      <c r="AR34" s="29">
        <f t="shared" si="1"/>
        <v>101</v>
      </c>
      <c r="AS34" s="29">
        <f t="shared" si="1"/>
        <v>21</v>
      </c>
      <c r="AT34" s="29">
        <f t="shared" si="1"/>
        <v>10</v>
      </c>
      <c r="AU34" s="29">
        <f t="shared" si="1"/>
        <v>842</v>
      </c>
      <c r="AZ34" s="29">
        <f t="shared" ref="AZ34:CE34" si="2">SUM(AZ5:AZ33)</f>
        <v>1101</v>
      </c>
      <c r="BA34" s="29">
        <f t="shared" si="2"/>
        <v>52</v>
      </c>
      <c r="BB34" s="29">
        <f t="shared" si="2"/>
        <v>0</v>
      </c>
      <c r="BC34" s="29">
        <f t="shared" si="2"/>
        <v>15</v>
      </c>
      <c r="BD34" s="29">
        <f t="shared" si="2"/>
        <v>1</v>
      </c>
      <c r="BE34" s="29">
        <f t="shared" si="2"/>
        <v>0</v>
      </c>
      <c r="BF34" s="29">
        <f t="shared" si="2"/>
        <v>2</v>
      </c>
      <c r="BG34" s="29">
        <f t="shared" si="2"/>
        <v>5</v>
      </c>
      <c r="BH34" s="29">
        <f t="shared" si="2"/>
        <v>2</v>
      </c>
      <c r="BI34" s="29">
        <f t="shared" si="2"/>
        <v>4</v>
      </c>
      <c r="BJ34" s="29">
        <f t="shared" si="2"/>
        <v>2</v>
      </c>
      <c r="BK34" s="29">
        <f t="shared" si="2"/>
        <v>5</v>
      </c>
      <c r="BL34" s="29">
        <f t="shared" si="2"/>
        <v>1</v>
      </c>
      <c r="BM34" s="29">
        <f t="shared" si="2"/>
        <v>0</v>
      </c>
      <c r="BN34" s="29">
        <f t="shared" si="2"/>
        <v>6</v>
      </c>
      <c r="BO34" s="29">
        <f t="shared" si="2"/>
        <v>1</v>
      </c>
      <c r="BP34" s="29">
        <f t="shared" si="2"/>
        <v>2</v>
      </c>
      <c r="BQ34" s="29">
        <f t="shared" si="2"/>
        <v>0</v>
      </c>
      <c r="BR34" s="29">
        <f t="shared" si="2"/>
        <v>6</v>
      </c>
      <c r="BS34" s="29">
        <f t="shared" si="2"/>
        <v>18</v>
      </c>
      <c r="BT34" s="29">
        <f t="shared" si="2"/>
        <v>1</v>
      </c>
      <c r="BU34" s="29">
        <f t="shared" si="2"/>
        <v>0</v>
      </c>
      <c r="BV34" s="29">
        <f t="shared" si="2"/>
        <v>8</v>
      </c>
      <c r="BW34" s="29">
        <f t="shared" si="2"/>
        <v>0</v>
      </c>
      <c r="BX34" s="29">
        <f t="shared" si="2"/>
        <v>1</v>
      </c>
      <c r="BY34" s="29">
        <f t="shared" si="2"/>
        <v>0</v>
      </c>
      <c r="BZ34" s="29">
        <f t="shared" si="2"/>
        <v>1</v>
      </c>
      <c r="CA34" s="29">
        <f t="shared" si="2"/>
        <v>0</v>
      </c>
      <c r="CB34" s="29">
        <f t="shared" si="2"/>
        <v>0</v>
      </c>
      <c r="CC34" s="29">
        <f t="shared" si="2"/>
        <v>0</v>
      </c>
      <c r="CD34" s="29">
        <f t="shared" si="2"/>
        <v>0</v>
      </c>
      <c r="CE34" s="29">
        <f t="shared" si="2"/>
        <v>4</v>
      </c>
      <c r="CF34" s="29">
        <f t="shared" ref="CF34:DK34" si="3">SUM(CF5:CF33)</f>
        <v>0</v>
      </c>
      <c r="CG34" s="29">
        <f t="shared" si="3"/>
        <v>0</v>
      </c>
      <c r="CH34" s="29">
        <f t="shared" si="3"/>
        <v>0</v>
      </c>
      <c r="CI34" s="29">
        <f t="shared" si="3"/>
        <v>0</v>
      </c>
      <c r="CJ34" s="29">
        <f t="shared" si="3"/>
        <v>5</v>
      </c>
      <c r="CK34" s="29">
        <f t="shared" si="3"/>
        <v>0</v>
      </c>
      <c r="CL34" s="29">
        <f t="shared" si="3"/>
        <v>1</v>
      </c>
      <c r="CM34" s="29">
        <f t="shared" si="3"/>
        <v>0</v>
      </c>
      <c r="CN34" s="29">
        <f t="shared" si="3"/>
        <v>0</v>
      </c>
      <c r="CO34" s="29">
        <f t="shared" si="3"/>
        <v>1</v>
      </c>
      <c r="CP34" s="29">
        <f t="shared" si="3"/>
        <v>0</v>
      </c>
      <c r="CQ34" s="29">
        <f t="shared" si="3"/>
        <v>2</v>
      </c>
      <c r="CR34" s="29">
        <f t="shared" si="3"/>
        <v>0</v>
      </c>
      <c r="CS34" s="29">
        <f t="shared" si="3"/>
        <v>0</v>
      </c>
      <c r="CT34" s="29">
        <f t="shared" si="3"/>
        <v>0</v>
      </c>
      <c r="CU34" s="29">
        <f t="shared" si="3"/>
        <v>0</v>
      </c>
      <c r="CV34" s="29">
        <f t="shared" si="3"/>
        <v>6</v>
      </c>
      <c r="CW34" s="29">
        <f t="shared" si="3"/>
        <v>1</v>
      </c>
      <c r="CX34" s="29">
        <f t="shared" si="3"/>
        <v>0</v>
      </c>
      <c r="CY34" s="29">
        <f t="shared" si="3"/>
        <v>0</v>
      </c>
      <c r="CZ34" s="29">
        <f t="shared" si="3"/>
        <v>1</v>
      </c>
      <c r="DA34" s="29">
        <f t="shared" si="3"/>
        <v>6</v>
      </c>
      <c r="DB34" s="29">
        <f t="shared" si="3"/>
        <v>5</v>
      </c>
      <c r="DC34" s="29">
        <f t="shared" si="3"/>
        <v>1</v>
      </c>
      <c r="DD34" s="29">
        <f t="shared" si="3"/>
        <v>0</v>
      </c>
      <c r="DE34" s="29">
        <f t="shared" si="3"/>
        <v>0</v>
      </c>
      <c r="DF34" s="29">
        <f t="shared" si="3"/>
        <v>0</v>
      </c>
      <c r="DG34" s="29">
        <f t="shared" si="3"/>
        <v>0</v>
      </c>
      <c r="DH34" s="29">
        <f t="shared" si="3"/>
        <v>2</v>
      </c>
      <c r="DI34" s="29">
        <f t="shared" si="3"/>
        <v>1</v>
      </c>
      <c r="DJ34" s="29">
        <f t="shared" si="3"/>
        <v>0</v>
      </c>
      <c r="DK34" s="29">
        <f t="shared" si="3"/>
        <v>1</v>
      </c>
      <c r="DL34" s="29">
        <f t="shared" ref="DL34:EQ34" si="4">SUM(DL5:DL33)</f>
        <v>1</v>
      </c>
      <c r="DM34" s="29">
        <f t="shared" si="4"/>
        <v>1</v>
      </c>
      <c r="DN34" s="29">
        <f t="shared" si="4"/>
        <v>0</v>
      </c>
      <c r="DO34" s="29">
        <f t="shared" si="4"/>
        <v>0</v>
      </c>
      <c r="DP34" s="29">
        <f t="shared" si="4"/>
        <v>0</v>
      </c>
      <c r="DQ34" s="29">
        <f t="shared" si="4"/>
        <v>3</v>
      </c>
      <c r="DR34" s="29">
        <f t="shared" si="4"/>
        <v>2</v>
      </c>
      <c r="DS34" s="29">
        <f t="shared" si="4"/>
        <v>1</v>
      </c>
      <c r="DT34" s="29">
        <f t="shared" si="4"/>
        <v>0</v>
      </c>
      <c r="DU34" s="29">
        <f t="shared" si="4"/>
        <v>0</v>
      </c>
      <c r="DV34" s="29">
        <f t="shared" si="4"/>
        <v>0</v>
      </c>
      <c r="DW34" s="29">
        <f t="shared" si="4"/>
        <v>0</v>
      </c>
      <c r="DX34" s="29">
        <f t="shared" si="4"/>
        <v>1</v>
      </c>
      <c r="DY34" s="29">
        <f t="shared" si="4"/>
        <v>0</v>
      </c>
      <c r="DZ34" s="29">
        <f t="shared" si="4"/>
        <v>0</v>
      </c>
      <c r="EA34" s="29">
        <f t="shared" si="4"/>
        <v>0</v>
      </c>
      <c r="EB34" s="29">
        <f t="shared" si="4"/>
        <v>0</v>
      </c>
      <c r="EC34" s="29">
        <f t="shared" si="4"/>
        <v>0</v>
      </c>
      <c r="ED34" s="29">
        <f t="shared" si="4"/>
        <v>0</v>
      </c>
      <c r="EE34" s="29">
        <f t="shared" si="4"/>
        <v>0</v>
      </c>
      <c r="EF34" s="29">
        <f t="shared" si="4"/>
        <v>0</v>
      </c>
      <c r="EG34" s="29">
        <f t="shared" si="4"/>
        <v>0</v>
      </c>
      <c r="EH34" s="29">
        <f t="shared" si="4"/>
        <v>2</v>
      </c>
      <c r="EI34" s="29">
        <f t="shared" si="4"/>
        <v>0</v>
      </c>
      <c r="EJ34" s="29">
        <f t="shared" si="4"/>
        <v>2</v>
      </c>
      <c r="EK34" s="29">
        <f t="shared" si="4"/>
        <v>0</v>
      </c>
      <c r="EL34" s="29">
        <f t="shared" si="4"/>
        <v>2</v>
      </c>
      <c r="EM34" s="29">
        <f t="shared" si="4"/>
        <v>0</v>
      </c>
      <c r="EN34" s="29">
        <f t="shared" si="4"/>
        <v>0</v>
      </c>
      <c r="EO34" s="29">
        <f t="shared" si="4"/>
        <v>0</v>
      </c>
      <c r="EP34" s="29">
        <f t="shared" si="4"/>
        <v>1</v>
      </c>
      <c r="EQ34" s="29">
        <f t="shared" si="4"/>
        <v>0</v>
      </c>
      <c r="ER34" s="29">
        <f t="shared" ref="ER34:FW34" si="5">SUM(ER5:ER33)</f>
        <v>0</v>
      </c>
      <c r="ES34" s="29">
        <f t="shared" si="5"/>
        <v>0</v>
      </c>
      <c r="ET34" s="29">
        <f t="shared" si="5"/>
        <v>0</v>
      </c>
      <c r="EU34" s="29">
        <f t="shared" si="5"/>
        <v>1</v>
      </c>
      <c r="EV34" s="29">
        <f t="shared" si="5"/>
        <v>2</v>
      </c>
      <c r="EW34" s="29">
        <f t="shared" si="5"/>
        <v>0</v>
      </c>
      <c r="EX34" s="29">
        <f t="shared" si="5"/>
        <v>3</v>
      </c>
      <c r="EY34" s="29">
        <f t="shared" si="5"/>
        <v>0</v>
      </c>
      <c r="EZ34" s="29">
        <f t="shared" si="5"/>
        <v>1</v>
      </c>
      <c r="FA34" s="29">
        <f t="shared" si="5"/>
        <v>0</v>
      </c>
      <c r="FB34" s="29">
        <f t="shared" si="5"/>
        <v>0</v>
      </c>
      <c r="FC34" s="29">
        <f t="shared" si="5"/>
        <v>0</v>
      </c>
      <c r="FD34" s="29">
        <f t="shared" si="5"/>
        <v>0</v>
      </c>
      <c r="FE34" s="29">
        <f t="shared" si="5"/>
        <v>0</v>
      </c>
      <c r="FF34" s="29">
        <f t="shared" si="5"/>
        <v>2</v>
      </c>
      <c r="FG34" s="29">
        <f t="shared" si="5"/>
        <v>1</v>
      </c>
      <c r="FH34" s="29">
        <f t="shared" si="5"/>
        <v>1</v>
      </c>
      <c r="FI34" s="29">
        <f t="shared" si="5"/>
        <v>0</v>
      </c>
      <c r="FJ34" s="29">
        <f t="shared" si="5"/>
        <v>5</v>
      </c>
      <c r="FK34" s="29">
        <f t="shared" si="5"/>
        <v>3</v>
      </c>
      <c r="FL34" s="29">
        <f t="shared" si="5"/>
        <v>0</v>
      </c>
      <c r="FM34" s="29">
        <f t="shared" si="5"/>
        <v>1</v>
      </c>
      <c r="FN34" s="29">
        <f t="shared" si="5"/>
        <v>13</v>
      </c>
      <c r="FO34" s="29">
        <f t="shared" si="5"/>
        <v>0</v>
      </c>
      <c r="FP34" s="29">
        <f t="shared" si="5"/>
        <v>7</v>
      </c>
      <c r="FQ34" s="29">
        <f t="shared" si="5"/>
        <v>3</v>
      </c>
      <c r="FR34" s="29">
        <f t="shared" si="5"/>
        <v>0</v>
      </c>
      <c r="FS34" s="29">
        <f t="shared" si="5"/>
        <v>1</v>
      </c>
      <c r="FT34" s="29">
        <f t="shared" si="5"/>
        <v>0</v>
      </c>
      <c r="FU34" s="29">
        <f t="shared" si="5"/>
        <v>0</v>
      </c>
      <c r="FV34" s="29">
        <f t="shared" si="5"/>
        <v>2</v>
      </c>
      <c r="FW34" s="29">
        <f t="shared" si="5"/>
        <v>1</v>
      </c>
      <c r="FX34" s="29">
        <f t="shared" ref="FX34:HC34" si="6">SUM(FX5:FX33)</f>
        <v>1</v>
      </c>
      <c r="FY34" s="29">
        <f t="shared" si="6"/>
        <v>0</v>
      </c>
      <c r="FZ34" s="29">
        <f t="shared" si="6"/>
        <v>1</v>
      </c>
      <c r="GA34" s="29">
        <f t="shared" si="6"/>
        <v>1</v>
      </c>
      <c r="GB34" s="29">
        <f t="shared" si="6"/>
        <v>0</v>
      </c>
      <c r="GC34" s="29">
        <f t="shared" si="6"/>
        <v>0</v>
      </c>
      <c r="GD34" s="29">
        <f t="shared" si="6"/>
        <v>0</v>
      </c>
      <c r="GE34" s="29">
        <f t="shared" si="6"/>
        <v>0</v>
      </c>
      <c r="GF34" s="29">
        <f t="shared" si="6"/>
        <v>0</v>
      </c>
    </row>
    <row r="35" spans="1:191" ht="17" thickTop="1" x14ac:dyDescent="0.2"/>
    <row r="36" spans="1:191" x14ac:dyDescent="0.2">
      <c r="CN36" s="30"/>
    </row>
    <row r="37" spans="1:191" x14ac:dyDescent="0.2">
      <c r="GH37" t="s">
        <v>175</v>
      </c>
      <c r="GI37">
        <v>92</v>
      </c>
    </row>
    <row r="38" spans="1:191" x14ac:dyDescent="0.2">
      <c r="GH38" t="s">
        <v>341</v>
      </c>
      <c r="GI38">
        <v>1245</v>
      </c>
    </row>
  </sheetData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49C6-3FB7-0F42-88C1-77FF31F85155}">
  <dimension ref="A1:EL29"/>
  <sheetViews>
    <sheetView workbookViewId="0">
      <selection activeCell="EA3" sqref="EA3:EL28"/>
    </sheetView>
  </sheetViews>
  <sheetFormatPr baseColWidth="10" defaultRowHeight="16" x14ac:dyDescent="0.2"/>
  <cols>
    <col min="1" max="1" width="14.1640625" customWidth="1"/>
    <col min="2" max="2" width="27.6640625" customWidth="1"/>
    <col min="3" max="3" width="39" customWidth="1"/>
    <col min="4" max="4" width="87.83203125" customWidth="1"/>
    <col min="5" max="5" width="60.83203125" customWidth="1"/>
    <col min="9" max="9" width="15.33203125" customWidth="1"/>
    <col min="86" max="86" width="16.5" customWidth="1"/>
  </cols>
  <sheetData>
    <row r="1" spans="1:142" x14ac:dyDescent="0.2">
      <c r="A1" s="15" t="s">
        <v>1</v>
      </c>
      <c r="B1" s="7" t="s">
        <v>2</v>
      </c>
      <c r="C1" s="7" t="s">
        <v>3</v>
      </c>
      <c r="D1" s="15" t="s">
        <v>161</v>
      </c>
      <c r="E1" s="15" t="s">
        <v>175</v>
      </c>
      <c r="F1" s="15" t="s">
        <v>23</v>
      </c>
      <c r="G1" s="7" t="s">
        <v>26</v>
      </c>
      <c r="H1" s="7" t="s">
        <v>25</v>
      </c>
      <c r="I1" s="7" t="s">
        <v>24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  <c r="P1" s="7" t="s">
        <v>33</v>
      </c>
      <c r="Q1" s="7" t="s">
        <v>34</v>
      </c>
      <c r="R1" s="7" t="s">
        <v>35</v>
      </c>
      <c r="S1" s="7" t="s">
        <v>36</v>
      </c>
      <c r="T1" s="7" t="s">
        <v>37</v>
      </c>
      <c r="U1" s="7" t="s">
        <v>38</v>
      </c>
      <c r="V1" s="7" t="s">
        <v>39</v>
      </c>
      <c r="W1" s="7" t="s">
        <v>40</v>
      </c>
      <c r="X1" s="7" t="s">
        <v>41</v>
      </c>
      <c r="Y1" s="7" t="s">
        <v>42</v>
      </c>
      <c r="Z1" s="7" t="s">
        <v>43</v>
      </c>
      <c r="AA1" s="7" t="s">
        <v>44</v>
      </c>
      <c r="AB1" s="7" t="s">
        <v>45</v>
      </c>
      <c r="AC1" s="7" t="s">
        <v>46</v>
      </c>
      <c r="AD1" s="7" t="s">
        <v>47</v>
      </c>
      <c r="AE1" s="7" t="s">
        <v>48</v>
      </c>
      <c r="AF1" s="7" t="s">
        <v>49</v>
      </c>
      <c r="AG1" s="7" t="s">
        <v>50</v>
      </c>
      <c r="AH1" s="7" t="s">
        <v>51</v>
      </c>
      <c r="AI1" s="7" t="s">
        <v>52</v>
      </c>
      <c r="AJ1" s="7" t="s">
        <v>53</v>
      </c>
      <c r="AK1" s="7" t="s">
        <v>54</v>
      </c>
      <c r="AL1" s="7" t="s">
        <v>55</v>
      </c>
      <c r="AM1" s="7" t="s">
        <v>56</v>
      </c>
      <c r="AN1" s="6" t="s">
        <v>57</v>
      </c>
      <c r="AO1" s="7" t="s">
        <v>58</v>
      </c>
      <c r="AP1" s="7" t="s">
        <v>59</v>
      </c>
      <c r="AQ1" s="7" t="s">
        <v>60</v>
      </c>
      <c r="AR1" s="7" t="s">
        <v>61</v>
      </c>
      <c r="AS1" s="7" t="s">
        <v>62</v>
      </c>
      <c r="AT1" s="7" t="s">
        <v>63</v>
      </c>
      <c r="AU1" s="7" t="s">
        <v>234</v>
      </c>
      <c r="AV1" s="7" t="s">
        <v>64</v>
      </c>
      <c r="AW1" s="7" t="s">
        <v>65</v>
      </c>
      <c r="AX1" s="7" t="s">
        <v>66</v>
      </c>
      <c r="AY1" s="7" t="s">
        <v>67</v>
      </c>
      <c r="AZ1" s="7" t="s">
        <v>68</v>
      </c>
      <c r="BA1" s="7" t="s">
        <v>69</v>
      </c>
      <c r="BB1" s="7" t="s">
        <v>70</v>
      </c>
      <c r="BC1" s="7" t="s">
        <v>71</v>
      </c>
      <c r="BD1" s="7" t="s">
        <v>72</v>
      </c>
      <c r="BE1" s="7" t="s">
        <v>73</v>
      </c>
      <c r="BF1" s="7" t="s">
        <v>74</v>
      </c>
      <c r="BG1" s="21" t="s">
        <v>75</v>
      </c>
      <c r="BH1" s="7" t="s">
        <v>76</v>
      </c>
      <c r="BI1" s="7" t="s">
        <v>77</v>
      </c>
      <c r="BJ1" s="7" t="s">
        <v>78</v>
      </c>
      <c r="BK1" s="7" t="s">
        <v>79</v>
      </c>
      <c r="BL1" s="7" t="s">
        <v>80</v>
      </c>
      <c r="BM1" s="7" t="s">
        <v>81</v>
      </c>
      <c r="BN1" s="7" t="s">
        <v>82</v>
      </c>
      <c r="BO1" s="7" t="s">
        <v>83</v>
      </c>
      <c r="BP1" s="7" t="s">
        <v>84</v>
      </c>
      <c r="BQ1" s="7" t="s">
        <v>85</v>
      </c>
      <c r="BR1" s="7" t="s">
        <v>86</v>
      </c>
      <c r="BS1" s="7" t="s">
        <v>87</v>
      </c>
      <c r="BT1" s="7" t="s">
        <v>88</v>
      </c>
      <c r="BU1" s="7" t="s">
        <v>89</v>
      </c>
      <c r="BV1" s="7" t="s">
        <v>90</v>
      </c>
      <c r="BW1" s="21" t="s">
        <v>162</v>
      </c>
      <c r="BX1" s="7" t="s">
        <v>92</v>
      </c>
      <c r="BY1" s="21" t="s">
        <v>93</v>
      </c>
      <c r="BZ1" s="21" t="s">
        <v>94</v>
      </c>
      <c r="CA1" s="1" t="s">
        <v>95</v>
      </c>
      <c r="CB1" s="7" t="s">
        <v>96</v>
      </c>
      <c r="CC1" s="7" t="s">
        <v>97</v>
      </c>
      <c r="CD1" s="7" t="s">
        <v>98</v>
      </c>
      <c r="CE1" s="7" t="s">
        <v>99</v>
      </c>
      <c r="CF1" s="7" t="s">
        <v>100</v>
      </c>
      <c r="CG1" s="7" t="s">
        <v>101</v>
      </c>
      <c r="CH1" s="7" t="s">
        <v>259</v>
      </c>
      <c r="CI1" s="7" t="s">
        <v>102</v>
      </c>
      <c r="CJ1" s="7" t="s">
        <v>103</v>
      </c>
      <c r="CK1" s="7" t="s">
        <v>104</v>
      </c>
      <c r="CL1" s="7" t="s">
        <v>105</v>
      </c>
      <c r="CM1" s="7" t="s">
        <v>106</v>
      </c>
      <c r="CN1" s="21" t="s">
        <v>107</v>
      </c>
      <c r="CO1" s="7" t="s">
        <v>108</v>
      </c>
      <c r="CP1" s="7" t="s">
        <v>109</v>
      </c>
      <c r="CQ1" s="7" t="s">
        <v>110</v>
      </c>
      <c r="CR1" s="7" t="s">
        <v>111</v>
      </c>
      <c r="CS1" s="1" t="s">
        <v>112</v>
      </c>
      <c r="CT1" s="7" t="s">
        <v>113</v>
      </c>
      <c r="CU1" s="7" t="s">
        <v>114</v>
      </c>
      <c r="CV1" s="7" t="s">
        <v>115</v>
      </c>
      <c r="CW1" s="7" t="s">
        <v>116</v>
      </c>
      <c r="CX1" s="7" t="s">
        <v>218</v>
      </c>
      <c r="CY1" s="7" t="s">
        <v>117</v>
      </c>
      <c r="CZ1" s="7" t="s">
        <v>118</v>
      </c>
      <c r="DA1" s="7" t="s">
        <v>119</v>
      </c>
      <c r="DB1" s="1" t="s">
        <v>120</v>
      </c>
      <c r="DC1" s="7" t="s">
        <v>121</v>
      </c>
      <c r="DD1" s="21" t="s">
        <v>122</v>
      </c>
      <c r="DE1" s="21" t="s">
        <v>123</v>
      </c>
      <c r="DF1" s="7" t="s">
        <v>124</v>
      </c>
      <c r="DG1" s="21" t="s">
        <v>125</v>
      </c>
      <c r="DH1" s="7" t="s">
        <v>126</v>
      </c>
      <c r="DI1" s="7" t="s">
        <v>127</v>
      </c>
      <c r="DJ1" s="7" t="s">
        <v>129</v>
      </c>
      <c r="DK1" s="7" t="s">
        <v>128</v>
      </c>
      <c r="DL1" s="7" t="s">
        <v>130</v>
      </c>
      <c r="DM1" s="1" t="s">
        <v>131</v>
      </c>
      <c r="DN1" s="1" t="s">
        <v>132</v>
      </c>
      <c r="DO1" s="21" t="s">
        <v>133</v>
      </c>
      <c r="DP1" s="7" t="s">
        <v>134</v>
      </c>
      <c r="DQ1" s="7" t="s">
        <v>135</v>
      </c>
      <c r="DR1" s="7" t="s">
        <v>321</v>
      </c>
      <c r="DS1" s="21" t="s">
        <v>136</v>
      </c>
      <c r="DT1" s="7" t="s">
        <v>137</v>
      </c>
      <c r="DU1" s="7" t="s">
        <v>138</v>
      </c>
      <c r="DV1" s="7" t="s">
        <v>139</v>
      </c>
      <c r="DW1" s="7" t="s">
        <v>140</v>
      </c>
      <c r="DX1" s="7" t="s">
        <v>141</v>
      </c>
      <c r="DY1" s="7" t="s">
        <v>142</v>
      </c>
      <c r="DZ1" s="21" t="s">
        <v>143</v>
      </c>
      <c r="EA1" s="7" t="s">
        <v>163</v>
      </c>
      <c r="EB1" s="7" t="s">
        <v>145</v>
      </c>
      <c r="EC1" s="7" t="s">
        <v>327</v>
      </c>
      <c r="ED1" s="21" t="s">
        <v>146</v>
      </c>
      <c r="EE1" s="7" t="s">
        <v>147</v>
      </c>
      <c r="EF1" s="21" t="s">
        <v>148</v>
      </c>
      <c r="EG1" s="21" t="s">
        <v>149</v>
      </c>
      <c r="EH1" s="7" t="s">
        <v>150</v>
      </c>
      <c r="EI1" s="7" t="s">
        <v>151</v>
      </c>
      <c r="EJ1" s="7" t="s">
        <v>152</v>
      </c>
      <c r="EK1" s="7" t="s">
        <v>153</v>
      </c>
      <c r="EL1" s="8" t="s">
        <v>154</v>
      </c>
    </row>
    <row r="3" spans="1:142" x14ac:dyDescent="0.2">
      <c r="A3" t="s">
        <v>169</v>
      </c>
      <c r="B3" t="s">
        <v>170</v>
      </c>
      <c r="C3" t="s">
        <v>171</v>
      </c>
      <c r="D3" t="s">
        <v>177</v>
      </c>
      <c r="E3" t="s">
        <v>70</v>
      </c>
      <c r="F3">
        <v>0</v>
      </c>
      <c r="G3">
        <v>7</v>
      </c>
      <c r="H3">
        <v>0</v>
      </c>
      <c r="I3">
        <v>0</v>
      </c>
      <c r="J3">
        <v>1</v>
      </c>
      <c r="K3">
        <v>0</v>
      </c>
      <c r="L3">
        <v>0</v>
      </c>
      <c r="M3">
        <v>2</v>
      </c>
      <c r="N3">
        <v>1</v>
      </c>
      <c r="O3">
        <v>2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</row>
    <row r="4" spans="1:142" x14ac:dyDescent="0.2">
      <c r="A4" t="s">
        <v>180</v>
      </c>
      <c r="B4" t="s">
        <v>170</v>
      </c>
      <c r="C4" t="s">
        <v>171</v>
      </c>
      <c r="D4" t="s">
        <v>183</v>
      </c>
      <c r="E4" t="s">
        <v>184</v>
      </c>
      <c r="F4">
        <v>0</v>
      </c>
      <c r="G4">
        <v>14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2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G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2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</row>
    <row r="6" spans="1:142" x14ac:dyDescent="0.2">
      <c r="A6" t="s">
        <v>185</v>
      </c>
      <c r="B6" t="s">
        <v>186</v>
      </c>
      <c r="C6" t="s">
        <v>187</v>
      </c>
      <c r="D6" t="s">
        <v>191</v>
      </c>
      <c r="E6" t="s">
        <v>192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</row>
    <row r="7" spans="1:142" x14ac:dyDescent="0.2">
      <c r="A7" t="s">
        <v>197</v>
      </c>
      <c r="B7" t="s">
        <v>198</v>
      </c>
      <c r="C7" t="s">
        <v>199</v>
      </c>
      <c r="D7" t="s">
        <v>202</v>
      </c>
      <c r="E7" t="s">
        <v>203</v>
      </c>
      <c r="F7">
        <v>0</v>
      </c>
      <c r="G7">
        <v>7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</row>
    <row r="9" spans="1:142" x14ac:dyDescent="0.2">
      <c r="A9" t="s">
        <v>213</v>
      </c>
      <c r="B9" t="s">
        <v>212</v>
      </c>
      <c r="C9" t="s">
        <v>214</v>
      </c>
      <c r="D9" t="s">
        <v>220</v>
      </c>
      <c r="E9" t="s">
        <v>221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2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</row>
    <row r="10" spans="1:142" x14ac:dyDescent="0.2">
      <c r="A10" t="s">
        <v>207</v>
      </c>
      <c r="B10" t="s">
        <v>208</v>
      </c>
      <c r="C10" t="s">
        <v>209</v>
      </c>
      <c r="D10" t="s">
        <v>216</v>
      </c>
      <c r="E10" t="s">
        <v>217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</row>
    <row r="11" spans="1:142" x14ac:dyDescent="0.2">
      <c r="A11" t="s">
        <v>222</v>
      </c>
      <c r="B11" t="s">
        <v>208</v>
      </c>
      <c r="C11" t="s">
        <v>209</v>
      </c>
      <c r="D11" t="s">
        <v>226</v>
      </c>
      <c r="E11" t="s">
        <v>227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1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</row>
    <row r="12" spans="1:142" x14ac:dyDescent="0.2">
      <c r="A12" t="s">
        <v>229</v>
      </c>
      <c r="B12" t="s">
        <v>230</v>
      </c>
      <c r="C12" t="s">
        <v>231</v>
      </c>
      <c r="D12" t="s">
        <v>235</v>
      </c>
      <c r="E12" t="s">
        <v>236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6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</row>
    <row r="13" spans="1:142" x14ac:dyDescent="0.2">
      <c r="A13" t="s">
        <v>238</v>
      </c>
      <c r="B13" t="s">
        <v>230</v>
      </c>
      <c r="C13" t="s">
        <v>231</v>
      </c>
      <c r="D13" t="s">
        <v>240</v>
      </c>
      <c r="E13" t="s">
        <v>241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</row>
    <row r="14" spans="1:142" x14ac:dyDescent="0.2">
      <c r="A14" t="s">
        <v>243</v>
      </c>
      <c r="B14" t="s">
        <v>244</v>
      </c>
      <c r="C14" t="s">
        <v>245</v>
      </c>
      <c r="D14" t="s">
        <v>248</v>
      </c>
      <c r="E14" t="s">
        <v>179</v>
      </c>
      <c r="F14">
        <v>2</v>
      </c>
      <c r="G14">
        <v>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</row>
    <row r="15" spans="1:142" x14ac:dyDescent="0.2">
      <c r="A15" t="s">
        <v>252</v>
      </c>
      <c r="B15" t="s">
        <v>253</v>
      </c>
      <c r="C15" t="s">
        <v>254</v>
      </c>
      <c r="D15" t="s">
        <v>257</v>
      </c>
      <c r="E15" t="s">
        <v>258</v>
      </c>
      <c r="F15">
        <v>2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2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</row>
    <row r="16" spans="1:142" x14ac:dyDescent="0.2">
      <c r="A16" t="s">
        <v>261</v>
      </c>
      <c r="B16" t="s">
        <v>262</v>
      </c>
      <c r="C16" t="s">
        <v>263</v>
      </c>
      <c r="D16" t="s">
        <v>268</v>
      </c>
      <c r="E16" t="s">
        <v>269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2</v>
      </c>
      <c r="P16">
        <v>0</v>
      </c>
      <c r="Q16">
        <v>7</v>
      </c>
      <c r="R16">
        <v>0</v>
      </c>
      <c r="S16">
        <v>0</v>
      </c>
      <c r="T16">
        <v>3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</row>
    <row r="17" spans="1:142" x14ac:dyDescent="0.2">
      <c r="A17" t="s">
        <v>270</v>
      </c>
      <c r="B17" t="s">
        <v>262</v>
      </c>
      <c r="C17" t="s">
        <v>263</v>
      </c>
      <c r="D17" t="s">
        <v>273</v>
      </c>
      <c r="E17" t="s">
        <v>274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5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7</v>
      </c>
      <c r="AC17">
        <v>0</v>
      </c>
      <c r="AD17">
        <v>2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2</v>
      </c>
      <c r="DE17">
        <v>1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</row>
    <row r="18" spans="1:142" x14ac:dyDescent="0.2">
      <c r="A18" t="s">
        <v>276</v>
      </c>
      <c r="B18" t="s">
        <v>277</v>
      </c>
      <c r="C18" t="s">
        <v>278</v>
      </c>
      <c r="D18" t="s">
        <v>281</v>
      </c>
      <c r="E18" t="s">
        <v>282</v>
      </c>
      <c r="F18">
        <v>2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</row>
    <row r="19" spans="1:142" x14ac:dyDescent="0.2">
      <c r="A19" t="s">
        <v>286</v>
      </c>
      <c r="B19" t="s">
        <v>277</v>
      </c>
      <c r="C19" t="s">
        <v>278</v>
      </c>
      <c r="D19" t="s">
        <v>290</v>
      </c>
      <c r="E19" t="s">
        <v>291</v>
      </c>
      <c r="F19">
        <v>1</v>
      </c>
      <c r="G19">
        <v>5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1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</row>
    <row r="20" spans="1:142" x14ac:dyDescent="0.2">
      <c r="A20" t="s">
        <v>295</v>
      </c>
      <c r="B20" t="s">
        <v>296</v>
      </c>
      <c r="C20" t="s">
        <v>297</v>
      </c>
      <c r="D20" t="s">
        <v>300</v>
      </c>
      <c r="E20" t="s">
        <v>301</v>
      </c>
      <c r="F20">
        <v>2</v>
      </c>
      <c r="G20">
        <v>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3</v>
      </c>
      <c r="BC20">
        <v>0</v>
      </c>
      <c r="BD20">
        <v>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2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</row>
    <row r="21" spans="1:142" x14ac:dyDescent="0.2">
      <c r="A21" t="s">
        <v>304</v>
      </c>
      <c r="B21" t="s">
        <v>305</v>
      </c>
      <c r="C21" t="s">
        <v>306</v>
      </c>
      <c r="D21" t="s">
        <v>309</v>
      </c>
      <c r="E21" t="s">
        <v>310</v>
      </c>
      <c r="F21">
        <v>1</v>
      </c>
      <c r="G21">
        <v>4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1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</row>
    <row r="23" spans="1:142" x14ac:dyDescent="0.2">
      <c r="A23" t="s">
        <v>313</v>
      </c>
      <c r="B23" t="s">
        <v>314</v>
      </c>
      <c r="C23" t="s">
        <v>315</v>
      </c>
      <c r="D23" t="s">
        <v>319</v>
      </c>
      <c r="E23" t="s">
        <v>320</v>
      </c>
      <c r="F23">
        <v>2</v>
      </c>
      <c r="G23">
        <v>7</v>
      </c>
      <c r="H23">
        <v>0</v>
      </c>
      <c r="I23">
        <v>0</v>
      </c>
      <c r="J23">
        <v>0</v>
      </c>
      <c r="K23">
        <v>0</v>
      </c>
      <c r="L23">
        <v>0</v>
      </c>
      <c r="M23">
        <v>4</v>
      </c>
      <c r="N23">
        <v>1</v>
      </c>
      <c r="O23">
        <v>0</v>
      </c>
      <c r="P23">
        <v>0</v>
      </c>
      <c r="Q23">
        <v>4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4</v>
      </c>
      <c r="Y23">
        <v>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</v>
      </c>
      <c r="BC23">
        <v>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9</v>
      </c>
      <c r="BL23">
        <v>9</v>
      </c>
      <c r="BM23">
        <v>9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1</v>
      </c>
      <c r="DQ23">
        <v>2</v>
      </c>
      <c r="DR23">
        <v>1</v>
      </c>
      <c r="DS23">
        <v>0</v>
      </c>
      <c r="DT23">
        <v>0</v>
      </c>
      <c r="DU23">
        <v>0</v>
      </c>
      <c r="DV23">
        <v>6</v>
      </c>
      <c r="DW23">
        <v>9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</row>
    <row r="24" spans="1:142" x14ac:dyDescent="0.2">
      <c r="A24" t="s">
        <v>322</v>
      </c>
      <c r="B24" t="s">
        <v>323</v>
      </c>
      <c r="C24" t="s">
        <v>324</v>
      </c>
      <c r="D24" t="s">
        <v>328</v>
      </c>
      <c r="E24" t="s">
        <v>329</v>
      </c>
      <c r="F24">
        <v>0</v>
      </c>
      <c r="G24">
        <v>6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2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</row>
    <row r="26" spans="1:142" s="27" customFormat="1" x14ac:dyDescent="0.2">
      <c r="A26" s="27" t="s">
        <v>333</v>
      </c>
      <c r="B26" s="27" t="s">
        <v>334</v>
      </c>
      <c r="C26" s="27" t="s">
        <v>335</v>
      </c>
      <c r="D26" s="27" t="s">
        <v>338</v>
      </c>
      <c r="E26" s="27" t="s">
        <v>179</v>
      </c>
      <c r="F26" s="27">
        <v>0</v>
      </c>
      <c r="G26" s="27">
        <v>0</v>
      </c>
      <c r="H26" s="27">
        <v>0</v>
      </c>
      <c r="I26" s="27">
        <v>0</v>
      </c>
      <c r="J26" s="27">
        <v>2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  <c r="BQ26" s="27">
        <v>0</v>
      </c>
      <c r="BR26" s="27">
        <v>0</v>
      </c>
      <c r="BS26" s="27">
        <v>0</v>
      </c>
      <c r="BT26" s="27">
        <v>0</v>
      </c>
      <c r="BU26" s="27">
        <v>0</v>
      </c>
      <c r="BV26" s="27">
        <v>0</v>
      </c>
      <c r="BW26" s="27">
        <v>0</v>
      </c>
      <c r="BX26" s="27">
        <v>0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0</v>
      </c>
      <c r="CF26" s="27">
        <v>0</v>
      </c>
      <c r="CG26" s="27">
        <v>0</v>
      </c>
      <c r="CH26" s="27">
        <v>0</v>
      </c>
      <c r="CI26" s="27">
        <v>0</v>
      </c>
      <c r="CJ26" s="27">
        <v>0</v>
      </c>
      <c r="CK26" s="27">
        <v>0</v>
      </c>
      <c r="CL26" s="27">
        <v>0</v>
      </c>
      <c r="CM26" s="27">
        <v>0</v>
      </c>
      <c r="CN26" s="27">
        <v>0</v>
      </c>
      <c r="CO26" s="27">
        <v>0</v>
      </c>
      <c r="CP26" s="27">
        <v>0</v>
      </c>
      <c r="CQ26" s="27">
        <v>0</v>
      </c>
      <c r="CR26" s="27">
        <v>0</v>
      </c>
      <c r="CS26" s="27">
        <v>0</v>
      </c>
      <c r="CT26" s="27">
        <v>0</v>
      </c>
      <c r="CU26" s="27">
        <v>0</v>
      </c>
      <c r="CV26" s="27">
        <v>0</v>
      </c>
      <c r="CW26" s="27">
        <v>0</v>
      </c>
      <c r="CX26" s="27">
        <v>0</v>
      </c>
      <c r="CY26" s="27">
        <v>0</v>
      </c>
      <c r="CZ26" s="27">
        <v>0</v>
      </c>
      <c r="DA26" s="27">
        <v>0</v>
      </c>
      <c r="DB26" s="27">
        <v>0</v>
      </c>
      <c r="DC26" s="27">
        <v>0</v>
      </c>
      <c r="DD26" s="27">
        <v>0</v>
      </c>
      <c r="DE26" s="27">
        <v>0</v>
      </c>
      <c r="DF26" s="27">
        <v>0</v>
      </c>
      <c r="DG26" s="27">
        <v>0</v>
      </c>
      <c r="DH26" s="27">
        <v>0</v>
      </c>
      <c r="DI26" s="27">
        <v>0</v>
      </c>
      <c r="DJ26" s="27">
        <v>0</v>
      </c>
      <c r="DK26" s="27">
        <v>0</v>
      </c>
      <c r="DL26" s="27">
        <v>0</v>
      </c>
      <c r="DM26" s="27">
        <v>0</v>
      </c>
      <c r="DN26" s="27">
        <v>0</v>
      </c>
      <c r="DO26" s="27">
        <v>0</v>
      </c>
      <c r="DP26" s="27">
        <v>0</v>
      </c>
      <c r="DQ26" s="27">
        <v>0</v>
      </c>
      <c r="DR26" s="27">
        <v>0</v>
      </c>
      <c r="DS26" s="27">
        <v>0</v>
      </c>
      <c r="DT26" s="27">
        <v>0</v>
      </c>
      <c r="DU26" s="27">
        <v>0</v>
      </c>
      <c r="DV26" s="27">
        <v>0</v>
      </c>
      <c r="DW26" s="27">
        <v>0</v>
      </c>
      <c r="DX26" s="27">
        <v>0</v>
      </c>
      <c r="DY26" s="27">
        <v>0</v>
      </c>
      <c r="DZ26" s="27">
        <v>0</v>
      </c>
      <c r="EA26" s="27">
        <v>0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0</v>
      </c>
      <c r="EI26" s="27">
        <v>0</v>
      </c>
      <c r="EJ26" s="27">
        <v>0</v>
      </c>
      <c r="EK26" s="27">
        <v>0</v>
      </c>
      <c r="EL26" s="27">
        <v>0</v>
      </c>
    </row>
    <row r="28" spans="1:142" s="29" customFormat="1" ht="17" thickBot="1" x14ac:dyDescent="0.25">
      <c r="F28" s="29">
        <f t="shared" ref="F28:AK28" si="0">SUM(F3:F27)</f>
        <v>12</v>
      </c>
      <c r="G28" s="29">
        <f t="shared" si="0"/>
        <v>85</v>
      </c>
      <c r="H28" s="29">
        <f t="shared" si="0"/>
        <v>1</v>
      </c>
      <c r="I28" s="29">
        <f t="shared" si="0"/>
        <v>1</v>
      </c>
      <c r="J28" s="29">
        <f t="shared" si="0"/>
        <v>8</v>
      </c>
      <c r="K28" s="29">
        <f t="shared" si="0"/>
        <v>0</v>
      </c>
      <c r="L28" s="29">
        <f t="shared" si="0"/>
        <v>0</v>
      </c>
      <c r="M28" s="29">
        <f t="shared" si="0"/>
        <v>9</v>
      </c>
      <c r="N28" s="29">
        <f t="shared" si="0"/>
        <v>3</v>
      </c>
      <c r="O28" s="29">
        <f t="shared" si="0"/>
        <v>11</v>
      </c>
      <c r="P28" s="29">
        <f t="shared" si="0"/>
        <v>0</v>
      </c>
      <c r="Q28" s="29">
        <f t="shared" si="0"/>
        <v>66</v>
      </c>
      <c r="R28" s="29">
        <f t="shared" si="0"/>
        <v>3</v>
      </c>
      <c r="S28" s="29">
        <f t="shared" si="0"/>
        <v>0</v>
      </c>
      <c r="T28" s="29">
        <f t="shared" si="0"/>
        <v>7</v>
      </c>
      <c r="U28" s="29">
        <f t="shared" si="0"/>
        <v>0</v>
      </c>
      <c r="V28" s="29">
        <f t="shared" si="0"/>
        <v>6</v>
      </c>
      <c r="W28" s="29">
        <f t="shared" si="0"/>
        <v>0</v>
      </c>
      <c r="X28" s="29">
        <f t="shared" si="0"/>
        <v>9</v>
      </c>
      <c r="Y28" s="29">
        <f t="shared" si="0"/>
        <v>6</v>
      </c>
      <c r="Z28" s="29">
        <f t="shared" si="0"/>
        <v>3</v>
      </c>
      <c r="AA28" s="29">
        <f t="shared" si="0"/>
        <v>2</v>
      </c>
      <c r="AB28" s="29">
        <f t="shared" si="0"/>
        <v>14</v>
      </c>
      <c r="AC28" s="29">
        <f t="shared" si="0"/>
        <v>5</v>
      </c>
      <c r="AD28" s="29">
        <f t="shared" si="0"/>
        <v>7</v>
      </c>
      <c r="AE28" s="29">
        <f t="shared" si="0"/>
        <v>4</v>
      </c>
      <c r="AF28" s="29">
        <f t="shared" si="0"/>
        <v>5</v>
      </c>
      <c r="AG28" s="29">
        <f t="shared" si="0"/>
        <v>0</v>
      </c>
      <c r="AH28" s="29">
        <f t="shared" si="0"/>
        <v>2</v>
      </c>
      <c r="AI28" s="29">
        <f t="shared" si="0"/>
        <v>0</v>
      </c>
      <c r="AJ28" s="29">
        <f t="shared" si="0"/>
        <v>1</v>
      </c>
      <c r="AK28" s="29">
        <f t="shared" si="0"/>
        <v>2</v>
      </c>
      <c r="AL28" s="29">
        <f t="shared" ref="AL28:BQ28" si="1">SUM(AL3:AL27)</f>
        <v>0</v>
      </c>
      <c r="AM28" s="29">
        <f t="shared" si="1"/>
        <v>2</v>
      </c>
      <c r="AN28" s="29">
        <f t="shared" si="1"/>
        <v>0</v>
      </c>
      <c r="AO28" s="29">
        <f t="shared" si="1"/>
        <v>3</v>
      </c>
      <c r="AP28" s="29">
        <f t="shared" si="1"/>
        <v>2</v>
      </c>
      <c r="AQ28" s="29">
        <f t="shared" si="1"/>
        <v>0</v>
      </c>
      <c r="AR28" s="29">
        <f t="shared" si="1"/>
        <v>1</v>
      </c>
      <c r="AS28" s="29">
        <f t="shared" si="1"/>
        <v>1</v>
      </c>
      <c r="AT28" s="29">
        <f t="shared" si="1"/>
        <v>0</v>
      </c>
      <c r="AU28" s="29">
        <f t="shared" si="1"/>
        <v>2</v>
      </c>
      <c r="AV28" s="29">
        <f t="shared" si="1"/>
        <v>0</v>
      </c>
      <c r="AW28" s="29">
        <f t="shared" si="1"/>
        <v>6</v>
      </c>
      <c r="AX28" s="29">
        <f t="shared" si="1"/>
        <v>1</v>
      </c>
      <c r="AY28" s="29">
        <f t="shared" si="1"/>
        <v>2</v>
      </c>
      <c r="AZ28" s="29">
        <f t="shared" si="1"/>
        <v>0</v>
      </c>
      <c r="BA28" s="29">
        <f t="shared" si="1"/>
        <v>0</v>
      </c>
      <c r="BB28" s="29">
        <f t="shared" si="1"/>
        <v>19</v>
      </c>
      <c r="BC28" s="29">
        <f t="shared" si="1"/>
        <v>5</v>
      </c>
      <c r="BD28" s="29">
        <f t="shared" si="1"/>
        <v>3</v>
      </c>
      <c r="BE28" s="29">
        <f t="shared" si="1"/>
        <v>1</v>
      </c>
      <c r="BF28" s="29">
        <f t="shared" si="1"/>
        <v>1</v>
      </c>
      <c r="BG28" s="29">
        <f t="shared" si="1"/>
        <v>6</v>
      </c>
      <c r="BH28" s="29">
        <f t="shared" si="1"/>
        <v>0</v>
      </c>
      <c r="BI28" s="29">
        <f t="shared" si="1"/>
        <v>0</v>
      </c>
      <c r="BJ28" s="29">
        <f t="shared" si="1"/>
        <v>3</v>
      </c>
      <c r="BK28" s="29">
        <f t="shared" si="1"/>
        <v>10</v>
      </c>
      <c r="BL28" s="29">
        <f t="shared" si="1"/>
        <v>9</v>
      </c>
      <c r="BM28" s="29">
        <f t="shared" si="1"/>
        <v>9</v>
      </c>
      <c r="BN28" s="29">
        <f t="shared" si="1"/>
        <v>1</v>
      </c>
      <c r="BO28" s="29">
        <f t="shared" si="1"/>
        <v>2</v>
      </c>
      <c r="BP28" s="29">
        <f t="shared" si="1"/>
        <v>0</v>
      </c>
      <c r="BQ28" s="29">
        <f t="shared" si="1"/>
        <v>2</v>
      </c>
      <c r="BR28" s="29">
        <f t="shared" ref="BR28:CW28" si="2">SUM(BR3:BR27)</f>
        <v>0</v>
      </c>
      <c r="BS28" s="29">
        <f t="shared" si="2"/>
        <v>0</v>
      </c>
      <c r="BT28" s="29">
        <f t="shared" si="2"/>
        <v>3</v>
      </c>
      <c r="BU28" s="29">
        <f t="shared" si="2"/>
        <v>0</v>
      </c>
      <c r="BV28" s="29">
        <f t="shared" si="2"/>
        <v>0</v>
      </c>
      <c r="BW28" s="29">
        <f t="shared" si="2"/>
        <v>0</v>
      </c>
      <c r="BX28" s="29">
        <f t="shared" si="2"/>
        <v>0</v>
      </c>
      <c r="BY28" s="29">
        <f t="shared" si="2"/>
        <v>0</v>
      </c>
      <c r="BZ28" s="29">
        <f t="shared" si="2"/>
        <v>2</v>
      </c>
      <c r="CA28" s="29">
        <f t="shared" si="2"/>
        <v>0</v>
      </c>
      <c r="CB28" s="29">
        <f t="shared" si="2"/>
        <v>0</v>
      </c>
      <c r="CC28" s="29">
        <f t="shared" si="2"/>
        <v>0</v>
      </c>
      <c r="CD28" s="29">
        <f t="shared" si="2"/>
        <v>0</v>
      </c>
      <c r="CE28" s="29">
        <f t="shared" si="2"/>
        <v>0</v>
      </c>
      <c r="CF28" s="29">
        <f t="shared" si="2"/>
        <v>0</v>
      </c>
      <c r="CG28" s="29">
        <f t="shared" si="2"/>
        <v>0</v>
      </c>
      <c r="CH28" s="29">
        <f t="shared" si="2"/>
        <v>1</v>
      </c>
      <c r="CI28" s="29">
        <f t="shared" si="2"/>
        <v>0</v>
      </c>
      <c r="CJ28" s="29">
        <f t="shared" si="2"/>
        <v>0</v>
      </c>
      <c r="CK28" s="29">
        <f t="shared" si="2"/>
        <v>0</v>
      </c>
      <c r="CL28" s="29">
        <f t="shared" si="2"/>
        <v>0</v>
      </c>
      <c r="CM28" s="29">
        <f t="shared" si="2"/>
        <v>0</v>
      </c>
      <c r="CN28" s="29">
        <f t="shared" si="2"/>
        <v>0</v>
      </c>
      <c r="CO28" s="29">
        <f t="shared" si="2"/>
        <v>0</v>
      </c>
      <c r="CP28" s="29">
        <f t="shared" si="2"/>
        <v>0</v>
      </c>
      <c r="CQ28" s="29">
        <f t="shared" si="2"/>
        <v>1</v>
      </c>
      <c r="CR28" s="29">
        <f t="shared" si="2"/>
        <v>0</v>
      </c>
      <c r="CS28" s="29">
        <f t="shared" si="2"/>
        <v>0</v>
      </c>
      <c r="CT28" s="29">
        <f t="shared" si="2"/>
        <v>0</v>
      </c>
      <c r="CU28" s="29">
        <f t="shared" si="2"/>
        <v>0</v>
      </c>
      <c r="CV28" s="29">
        <f t="shared" si="2"/>
        <v>2</v>
      </c>
      <c r="CW28" s="29">
        <f t="shared" si="2"/>
        <v>0</v>
      </c>
      <c r="CX28" s="29">
        <f t="shared" ref="CX28:EC28" si="3">SUM(CX3:CX27)</f>
        <v>1</v>
      </c>
      <c r="CY28" s="29">
        <f t="shared" si="3"/>
        <v>2</v>
      </c>
      <c r="CZ28" s="29">
        <f t="shared" si="3"/>
        <v>0</v>
      </c>
      <c r="DA28" s="29">
        <f t="shared" si="3"/>
        <v>2</v>
      </c>
      <c r="DB28" s="29">
        <f t="shared" si="3"/>
        <v>1</v>
      </c>
      <c r="DC28" s="29">
        <f t="shared" si="3"/>
        <v>0</v>
      </c>
      <c r="DD28" s="29">
        <f t="shared" si="3"/>
        <v>8</v>
      </c>
      <c r="DE28" s="29">
        <f t="shared" si="3"/>
        <v>2</v>
      </c>
      <c r="DF28" s="29">
        <f t="shared" si="3"/>
        <v>1</v>
      </c>
      <c r="DG28" s="29">
        <f t="shared" si="3"/>
        <v>0</v>
      </c>
      <c r="DH28" s="29">
        <f t="shared" si="3"/>
        <v>0</v>
      </c>
      <c r="DI28" s="29">
        <f t="shared" si="3"/>
        <v>0</v>
      </c>
      <c r="DJ28" s="29">
        <f t="shared" si="3"/>
        <v>0</v>
      </c>
      <c r="DK28" s="29">
        <f t="shared" si="3"/>
        <v>0</v>
      </c>
      <c r="DL28" s="29">
        <f t="shared" si="3"/>
        <v>1</v>
      </c>
      <c r="DM28" s="29">
        <f t="shared" si="3"/>
        <v>0</v>
      </c>
      <c r="DN28" s="29">
        <f t="shared" si="3"/>
        <v>0</v>
      </c>
      <c r="DO28" s="29">
        <f t="shared" si="3"/>
        <v>1</v>
      </c>
      <c r="DP28" s="29">
        <f t="shared" si="3"/>
        <v>5</v>
      </c>
      <c r="DQ28" s="29">
        <f t="shared" si="3"/>
        <v>6</v>
      </c>
      <c r="DR28" s="29">
        <f t="shared" si="3"/>
        <v>1</v>
      </c>
      <c r="DS28" s="29">
        <f t="shared" si="3"/>
        <v>0</v>
      </c>
      <c r="DT28" s="29">
        <f t="shared" si="3"/>
        <v>9</v>
      </c>
      <c r="DU28" s="29">
        <f t="shared" si="3"/>
        <v>1</v>
      </c>
      <c r="DV28" s="29">
        <f t="shared" si="3"/>
        <v>8</v>
      </c>
      <c r="DW28" s="29">
        <f t="shared" si="3"/>
        <v>13</v>
      </c>
      <c r="DX28" s="29">
        <f t="shared" si="3"/>
        <v>0</v>
      </c>
      <c r="DY28" s="29">
        <f t="shared" si="3"/>
        <v>0</v>
      </c>
      <c r="DZ28" s="29">
        <f t="shared" si="3"/>
        <v>0</v>
      </c>
      <c r="EA28" s="29">
        <f t="shared" si="3"/>
        <v>1</v>
      </c>
      <c r="EB28" s="29">
        <f t="shared" si="3"/>
        <v>2</v>
      </c>
      <c r="EC28" s="29">
        <f t="shared" si="3"/>
        <v>0</v>
      </c>
      <c r="ED28" s="29">
        <f t="shared" ref="ED28:FI28" si="4">SUM(ED3:ED27)</f>
        <v>5</v>
      </c>
      <c r="EE28" s="29">
        <f t="shared" si="4"/>
        <v>0</v>
      </c>
      <c r="EF28" s="29">
        <f t="shared" si="4"/>
        <v>3</v>
      </c>
      <c r="EG28" s="29">
        <f t="shared" si="4"/>
        <v>0</v>
      </c>
      <c r="EH28" s="29">
        <f t="shared" si="4"/>
        <v>0</v>
      </c>
      <c r="EI28" s="29">
        <f t="shared" si="4"/>
        <v>1</v>
      </c>
      <c r="EJ28" s="29">
        <f t="shared" si="4"/>
        <v>0</v>
      </c>
      <c r="EK28" s="29">
        <f t="shared" si="4"/>
        <v>0</v>
      </c>
      <c r="EL28" s="29">
        <f t="shared" si="4"/>
        <v>0</v>
      </c>
    </row>
    <row r="29" spans="1:142" ht="17" thickTop="1" x14ac:dyDescent="0.2"/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BC0F-96A4-054A-AD41-66047E03668C}">
  <dimension ref="A1:H26"/>
  <sheetViews>
    <sheetView topLeftCell="C1" workbookViewId="0">
      <selection activeCell="H27" sqref="H27"/>
    </sheetView>
  </sheetViews>
  <sheetFormatPr baseColWidth="10" defaultRowHeight="16" x14ac:dyDescent="0.2"/>
  <cols>
    <col min="1" max="1" width="14.1640625" customWidth="1"/>
    <col min="2" max="2" width="24.5" customWidth="1"/>
    <col min="3" max="3" width="43.33203125" customWidth="1"/>
    <col min="4" max="4" width="59.5" customWidth="1"/>
    <col min="5" max="5" width="44.33203125" customWidth="1"/>
    <col min="6" max="6" width="41.6640625" customWidth="1"/>
    <col min="7" max="7" width="32.1640625" customWidth="1"/>
    <col min="8" max="8" width="44" customWidth="1"/>
  </cols>
  <sheetData>
    <row r="1" spans="1:8" x14ac:dyDescent="0.2">
      <c r="A1" s="1" t="s">
        <v>1</v>
      </c>
      <c r="B1" s="1" t="s">
        <v>2</v>
      </c>
      <c r="C1" s="1" t="s">
        <v>3</v>
      </c>
      <c r="D1" s="7" t="s">
        <v>164</v>
      </c>
      <c r="E1" s="7" t="s">
        <v>165</v>
      </c>
      <c r="F1" s="7" t="s">
        <v>166</v>
      </c>
      <c r="G1" s="7" t="s">
        <v>167</v>
      </c>
      <c r="H1" s="7" t="s">
        <v>168</v>
      </c>
    </row>
    <row r="3" spans="1:8" x14ac:dyDescent="0.2">
      <c r="A3" t="s">
        <v>169</v>
      </c>
      <c r="B3" t="s">
        <v>170</v>
      </c>
      <c r="C3" t="s">
        <v>171</v>
      </c>
      <c r="D3" t="s">
        <v>179</v>
      </c>
      <c r="E3" t="s">
        <v>193</v>
      </c>
      <c r="F3" t="s">
        <v>178</v>
      </c>
      <c r="G3" t="s">
        <v>179</v>
      </c>
      <c r="H3" t="s">
        <v>179</v>
      </c>
    </row>
    <row r="4" spans="1:8" x14ac:dyDescent="0.2">
      <c r="A4" t="s">
        <v>180</v>
      </c>
      <c r="B4" t="s">
        <v>170</v>
      </c>
      <c r="C4" t="s">
        <v>171</v>
      </c>
      <c r="D4" t="s">
        <v>179</v>
      </c>
      <c r="E4" t="s">
        <v>193</v>
      </c>
      <c r="F4" t="s">
        <v>179</v>
      </c>
      <c r="G4" t="s">
        <v>179</v>
      </c>
      <c r="H4" t="s">
        <v>179</v>
      </c>
    </row>
    <row r="6" spans="1:8" x14ac:dyDescent="0.2">
      <c r="A6" t="s">
        <v>185</v>
      </c>
      <c r="B6" t="s">
        <v>186</v>
      </c>
      <c r="C6" t="s">
        <v>187</v>
      </c>
      <c r="D6" t="s">
        <v>179</v>
      </c>
      <c r="E6" t="s">
        <v>194</v>
      </c>
      <c r="F6" t="s">
        <v>179</v>
      </c>
      <c r="G6" t="s">
        <v>195</v>
      </c>
      <c r="H6" t="s">
        <v>179</v>
      </c>
    </row>
    <row r="7" spans="1:8" x14ac:dyDescent="0.2">
      <c r="A7" t="s">
        <v>197</v>
      </c>
      <c r="B7" t="s">
        <v>198</v>
      </c>
      <c r="C7" t="s">
        <v>199</v>
      </c>
      <c r="E7" t="s">
        <v>204</v>
      </c>
      <c r="F7" t="s">
        <v>179</v>
      </c>
      <c r="G7" t="s">
        <v>205</v>
      </c>
      <c r="H7" t="s">
        <v>179</v>
      </c>
    </row>
    <row r="9" spans="1:8" x14ac:dyDescent="0.2">
      <c r="A9" t="s">
        <v>213</v>
      </c>
      <c r="B9" t="s">
        <v>212</v>
      </c>
      <c r="C9" t="s">
        <v>214</v>
      </c>
      <c r="D9" t="s">
        <v>179</v>
      </c>
      <c r="E9" t="s">
        <v>193</v>
      </c>
      <c r="F9" t="s">
        <v>179</v>
      </c>
      <c r="G9" t="s">
        <v>179</v>
      </c>
    </row>
    <row r="10" spans="1:8" x14ac:dyDescent="0.2">
      <c r="A10" t="s">
        <v>207</v>
      </c>
      <c r="B10" t="s">
        <v>208</v>
      </c>
      <c r="C10" t="s">
        <v>209</v>
      </c>
      <c r="D10" t="s">
        <v>179</v>
      </c>
      <c r="E10" t="s">
        <v>193</v>
      </c>
      <c r="F10" t="s">
        <v>179</v>
      </c>
      <c r="G10" t="s">
        <v>179</v>
      </c>
      <c r="H10" t="s">
        <v>179</v>
      </c>
    </row>
    <row r="11" spans="1:8" x14ac:dyDescent="0.2">
      <c r="A11" t="s">
        <v>222</v>
      </c>
      <c r="B11" t="s">
        <v>208</v>
      </c>
      <c r="C11" t="s">
        <v>209</v>
      </c>
      <c r="D11" t="s">
        <v>179</v>
      </c>
      <c r="E11" t="s">
        <v>193</v>
      </c>
      <c r="F11" t="s">
        <v>179</v>
      </c>
      <c r="G11" t="s">
        <v>179</v>
      </c>
      <c r="H11" t="s">
        <v>179</v>
      </c>
    </row>
    <row r="12" spans="1:8" x14ac:dyDescent="0.2">
      <c r="A12" t="s">
        <v>229</v>
      </c>
      <c r="B12" t="s">
        <v>230</v>
      </c>
      <c r="C12" t="s">
        <v>231</v>
      </c>
      <c r="D12" t="s">
        <v>237</v>
      </c>
      <c r="E12" t="s">
        <v>193</v>
      </c>
      <c r="F12" t="s">
        <v>179</v>
      </c>
      <c r="G12" t="s">
        <v>179</v>
      </c>
      <c r="H12" t="s">
        <v>179</v>
      </c>
    </row>
    <row r="13" spans="1:8" x14ac:dyDescent="0.2">
      <c r="A13" t="s">
        <v>238</v>
      </c>
      <c r="B13" t="s">
        <v>230</v>
      </c>
      <c r="C13" t="s">
        <v>231</v>
      </c>
      <c r="D13" t="s">
        <v>242</v>
      </c>
      <c r="E13" t="s">
        <v>193</v>
      </c>
      <c r="F13" t="s">
        <v>179</v>
      </c>
      <c r="G13" t="s">
        <v>179</v>
      </c>
      <c r="H13" t="s">
        <v>179</v>
      </c>
    </row>
    <row r="14" spans="1:8" x14ac:dyDescent="0.2">
      <c r="A14" t="s">
        <v>243</v>
      </c>
      <c r="B14" t="s">
        <v>244</v>
      </c>
      <c r="C14" t="s">
        <v>245</v>
      </c>
      <c r="D14" t="s">
        <v>249</v>
      </c>
      <c r="E14" t="s">
        <v>250</v>
      </c>
      <c r="F14" t="s">
        <v>179</v>
      </c>
      <c r="G14" t="s">
        <v>179</v>
      </c>
      <c r="H14" t="s">
        <v>179</v>
      </c>
    </row>
    <row r="15" spans="1:8" x14ac:dyDescent="0.2">
      <c r="A15" t="s">
        <v>252</v>
      </c>
      <c r="B15" t="s">
        <v>253</v>
      </c>
      <c r="C15" t="s">
        <v>254</v>
      </c>
      <c r="D15" t="s">
        <v>179</v>
      </c>
      <c r="E15" t="s">
        <v>260</v>
      </c>
      <c r="F15" t="s">
        <v>179</v>
      </c>
      <c r="G15" t="s">
        <v>179</v>
      </c>
      <c r="H15" t="s">
        <v>179</v>
      </c>
    </row>
    <row r="16" spans="1:8" x14ac:dyDescent="0.2">
      <c r="A16" t="s">
        <v>261</v>
      </c>
      <c r="B16" t="s">
        <v>262</v>
      </c>
      <c r="C16" t="s">
        <v>263</v>
      </c>
      <c r="D16" t="s">
        <v>179</v>
      </c>
      <c r="E16" t="s">
        <v>193</v>
      </c>
      <c r="F16" t="s">
        <v>179</v>
      </c>
      <c r="G16" t="s">
        <v>179</v>
      </c>
      <c r="H16" t="s">
        <v>179</v>
      </c>
    </row>
    <row r="17" spans="1:8" x14ac:dyDescent="0.2">
      <c r="A17" t="s">
        <v>270</v>
      </c>
      <c r="B17" t="s">
        <v>262</v>
      </c>
      <c r="C17" t="s">
        <v>263</v>
      </c>
      <c r="D17" t="s">
        <v>179</v>
      </c>
      <c r="E17" t="s">
        <v>193</v>
      </c>
      <c r="F17" t="s">
        <v>179</v>
      </c>
      <c r="G17" t="s">
        <v>179</v>
      </c>
      <c r="H17" t="s">
        <v>179</v>
      </c>
    </row>
    <row r="18" spans="1:8" x14ac:dyDescent="0.2">
      <c r="A18" t="s">
        <v>276</v>
      </c>
      <c r="B18" t="s">
        <v>277</v>
      </c>
      <c r="C18" t="s">
        <v>278</v>
      </c>
      <c r="D18" t="s">
        <v>285</v>
      </c>
      <c r="E18" t="s">
        <v>283</v>
      </c>
      <c r="F18" t="s">
        <v>179</v>
      </c>
      <c r="G18" t="s">
        <v>284</v>
      </c>
      <c r="H18" t="s">
        <v>179</v>
      </c>
    </row>
    <row r="19" spans="1:8" x14ac:dyDescent="0.2">
      <c r="A19" t="s">
        <v>286</v>
      </c>
      <c r="B19" t="s">
        <v>277</v>
      </c>
      <c r="C19" t="s">
        <v>278</v>
      </c>
      <c r="D19" t="s">
        <v>179</v>
      </c>
      <c r="E19" t="s">
        <v>292</v>
      </c>
      <c r="F19" t="s">
        <v>293</v>
      </c>
      <c r="G19" t="s">
        <v>179</v>
      </c>
      <c r="H19" t="s">
        <v>179</v>
      </c>
    </row>
    <row r="20" spans="1:8" x14ac:dyDescent="0.2">
      <c r="A20" t="s">
        <v>295</v>
      </c>
      <c r="B20" t="s">
        <v>296</v>
      </c>
      <c r="C20" t="s">
        <v>297</v>
      </c>
      <c r="D20" t="s">
        <v>179</v>
      </c>
      <c r="E20" t="s">
        <v>193</v>
      </c>
      <c r="F20" t="s">
        <v>302</v>
      </c>
      <c r="G20" t="s">
        <v>303</v>
      </c>
      <c r="H20" t="s">
        <v>179</v>
      </c>
    </row>
    <row r="21" spans="1:8" x14ac:dyDescent="0.2">
      <c r="A21" t="s">
        <v>304</v>
      </c>
      <c r="B21" t="s">
        <v>305</v>
      </c>
      <c r="C21" t="s">
        <v>306</v>
      </c>
      <c r="D21" t="s">
        <v>179</v>
      </c>
      <c r="E21" t="s">
        <v>311</v>
      </c>
      <c r="F21" t="s">
        <v>179</v>
      </c>
      <c r="G21" t="s">
        <v>179</v>
      </c>
      <c r="H21" t="s">
        <v>179</v>
      </c>
    </row>
    <row r="23" spans="1:8" x14ac:dyDescent="0.2">
      <c r="A23" t="s">
        <v>313</v>
      </c>
      <c r="B23" t="s">
        <v>314</v>
      </c>
      <c r="C23" t="s">
        <v>315</v>
      </c>
      <c r="D23" t="s">
        <v>179</v>
      </c>
      <c r="E23" t="s">
        <v>332</v>
      </c>
      <c r="F23" t="s">
        <v>179</v>
      </c>
      <c r="G23" t="s">
        <v>318</v>
      </c>
      <c r="H23" t="s">
        <v>179</v>
      </c>
    </row>
    <row r="24" spans="1:8" x14ac:dyDescent="0.2">
      <c r="A24" t="s">
        <v>322</v>
      </c>
      <c r="B24" t="s">
        <v>323</v>
      </c>
      <c r="C24" t="s">
        <v>324</v>
      </c>
      <c r="D24" t="s">
        <v>330</v>
      </c>
      <c r="E24" t="s">
        <v>331</v>
      </c>
      <c r="F24" t="s">
        <v>179</v>
      </c>
      <c r="G24" t="s">
        <v>179</v>
      </c>
      <c r="H24" t="s">
        <v>179</v>
      </c>
    </row>
    <row r="26" spans="1:8" x14ac:dyDescent="0.2">
      <c r="A26" s="27" t="s">
        <v>333</v>
      </c>
      <c r="B26" s="27" t="s">
        <v>334</v>
      </c>
      <c r="C26" s="27" t="s">
        <v>335</v>
      </c>
      <c r="D26" s="27" t="s">
        <v>339</v>
      </c>
      <c r="E26" s="27" t="s">
        <v>340</v>
      </c>
      <c r="F26" s="27" t="s">
        <v>179</v>
      </c>
      <c r="G26" s="27" t="s">
        <v>179</v>
      </c>
      <c r="H26" s="27" t="s">
        <v>179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ADW J-J 2024 spread sheet</vt:lpstr>
      <vt:lpstr>ADW J-J 2024 Parent Nationality</vt:lpstr>
      <vt:lpstr>ADW J-J 2024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Sari</dc:creator>
  <cp:lastModifiedBy>Sari Sari</cp:lastModifiedBy>
  <dcterms:created xsi:type="dcterms:W3CDTF">2024-06-10T12:03:57Z</dcterms:created>
  <dcterms:modified xsi:type="dcterms:W3CDTF">2025-10-29T12:18:17Z</dcterms:modified>
</cp:coreProperties>
</file>