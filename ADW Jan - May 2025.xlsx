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i1/Desktop/SARI 2025/Zinedin 2025/"/>
    </mc:Choice>
  </mc:AlternateContent>
  <xr:revisionPtr revIDLastSave="0" documentId="13_ncr:1_{E95F2681-5D5E-504F-9379-D52CC5EAF09D}" xr6:coauthVersionLast="36" xr6:coauthVersionMax="36" xr10:uidLastSave="{00000000-0000-0000-0000-000000000000}"/>
  <bookViews>
    <workbookView xWindow="8920" yWindow="500" windowWidth="28800" windowHeight="16260" xr2:uid="{BAD6C78C-E16A-8641-99DB-BB2CB12EE794}"/>
  </bookViews>
  <sheets>
    <sheet name="ADW Jan- Apr 2025 spread sheet" sheetId="1" r:id="rId1"/>
    <sheet name="ADW Jan-Apr Parent Nationality" sheetId="2" r:id="rId2"/>
    <sheet name="ADW Jan - Apr 2025 Not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77" i="1" l="1"/>
  <c r="G77" i="1" l="1"/>
  <c r="F77" i="1"/>
  <c r="N77" i="1" l="1"/>
  <c r="O77" i="1"/>
  <c r="L5" i="1"/>
  <c r="L77" i="1" s="1"/>
  <c r="Q77" i="1"/>
  <c r="DF77" i="1"/>
  <c r="DK77" i="1"/>
  <c r="FA77" i="2" l="1"/>
  <c r="EH77" i="2"/>
  <c r="DH77" i="2" l="1"/>
  <c r="BR77" i="2"/>
  <c r="BG77" i="2"/>
  <c r="FB77" i="2"/>
  <c r="BC77" i="2"/>
  <c r="BO77" i="2"/>
  <c r="DS77" i="2"/>
  <c r="AK77" i="2"/>
  <c r="AP77" i="2"/>
  <c r="M77" i="2"/>
  <c r="G77" i="2"/>
  <c r="AB77" i="2"/>
  <c r="AD77" i="2"/>
  <c r="N77" i="2"/>
  <c r="Q77" i="2"/>
  <c r="AC77" i="2"/>
  <c r="DC77" i="1"/>
  <c r="DB77" i="1"/>
  <c r="FP77" i="1"/>
  <c r="BZ77" i="1"/>
  <c r="BW77" i="1"/>
  <c r="BX77" i="1"/>
  <c r="BV77" i="1"/>
  <c r="BI77" i="1"/>
  <c r="AY77" i="2"/>
  <c r="BB77" i="2"/>
  <c r="BN77" i="2"/>
  <c r="DR77" i="2"/>
  <c r="X77" i="2"/>
  <c r="CY77" i="1"/>
  <c r="EW77" i="1"/>
  <c r="DH77" i="1"/>
  <c r="CG77" i="1"/>
  <c r="BL77" i="1"/>
  <c r="BS77" i="1"/>
  <c r="BT77" i="1"/>
  <c r="BO77" i="1"/>
  <c r="DT77" i="1"/>
  <c r="E77" i="1" l="1"/>
  <c r="V77" i="2"/>
  <c r="FS77" i="1"/>
  <c r="CX77" i="1"/>
  <c r="CW77" i="1"/>
  <c r="CD77" i="1"/>
  <c r="AQ77" i="1"/>
  <c r="AR77" i="1"/>
  <c r="AS77" i="1"/>
  <c r="AT77" i="1"/>
  <c r="AU77" i="1"/>
  <c r="AV77" i="1"/>
  <c r="AO77" i="1"/>
  <c r="AM77" i="1"/>
  <c r="AL77" i="1"/>
  <c r="AK77" i="1"/>
  <c r="AJ77" i="1"/>
  <c r="AI77" i="1"/>
  <c r="AH77" i="1"/>
  <c r="AG77" i="1"/>
  <c r="AE77" i="1"/>
  <c r="AD77" i="1"/>
  <c r="Z77" i="1"/>
  <c r="AA77" i="1"/>
  <c r="W77" i="1"/>
  <c r="X77" i="1"/>
  <c r="T77" i="1"/>
  <c r="U77" i="1"/>
  <c r="K77" i="1"/>
  <c r="P77" i="1"/>
  <c r="DX77" i="2"/>
  <c r="DQ77" i="2"/>
  <c r="CK77" i="2"/>
  <c r="O77" i="2"/>
  <c r="Y77" i="2"/>
  <c r="DG77" i="2"/>
  <c r="I77" i="2"/>
  <c r="DB77" i="2"/>
  <c r="BJ77" i="2"/>
  <c r="DF77" i="2"/>
  <c r="DM77" i="1"/>
  <c r="FM77" i="1"/>
  <c r="FR77" i="1"/>
  <c r="CE77" i="1"/>
  <c r="FL77" i="1"/>
  <c r="CL77" i="1"/>
  <c r="FZ77" i="1"/>
  <c r="BW77" i="2" l="1"/>
  <c r="CG77" i="2"/>
  <c r="FQ77" i="1"/>
  <c r="CC77" i="1"/>
  <c r="DC77" i="2" l="1"/>
  <c r="BH77" i="2"/>
  <c r="BD77" i="2"/>
  <c r="BP77" i="2"/>
  <c r="DA77" i="2"/>
  <c r="T77" i="2"/>
  <c r="FD77" i="1"/>
  <c r="CQ77" i="1"/>
  <c r="BD77" i="1"/>
  <c r="DY77" i="2"/>
  <c r="DV77" i="2"/>
  <c r="BT77" i="2"/>
  <c r="EF77" i="2"/>
  <c r="CS77" i="2"/>
  <c r="AO77" i="2"/>
  <c r="DD77" i="2"/>
  <c r="DG77" i="1"/>
  <c r="BM77" i="1"/>
  <c r="AN77" i="1"/>
  <c r="AF77" i="1"/>
  <c r="AC77" i="1"/>
  <c r="Y77" i="1"/>
  <c r="H77" i="1"/>
  <c r="GR77" i="1" l="1"/>
  <c r="F77" i="2" l="1"/>
  <c r="ED77" i="2"/>
  <c r="DN77" i="1"/>
  <c r="BC77" i="1"/>
  <c r="DE77" i="1"/>
  <c r="BY77" i="2" l="1"/>
  <c r="J77" i="2"/>
  <c r="CA77" i="2"/>
  <c r="GC77" i="1"/>
  <c r="DE77" i="2"/>
  <c r="CF77" i="2"/>
  <c r="CF77" i="1"/>
  <c r="BK77" i="2"/>
  <c r="AL77" i="2"/>
  <c r="EI77" i="2"/>
  <c r="DO77" i="2"/>
  <c r="AF77" i="2"/>
  <c r="EZ77" i="2"/>
  <c r="DZ77" i="2"/>
  <c r="CV77" i="2"/>
  <c r="EZ77" i="1"/>
  <c r="DN77" i="2"/>
  <c r="AG77" i="2"/>
  <c r="CB77" i="1"/>
  <c r="K77" i="2"/>
  <c r="H77" i="2"/>
  <c r="FH77" i="1"/>
  <c r="FC77" i="1"/>
  <c r="FA77" i="1"/>
  <c r="EU77" i="1"/>
  <c r="ER77" i="1"/>
  <c r="EM77" i="1"/>
  <c r="EH77" i="1"/>
  <c r="DU77" i="1"/>
  <c r="DR77" i="1"/>
  <c r="DP77" i="1"/>
  <c r="DO77" i="1"/>
  <c r="DQ77" i="1"/>
  <c r="DL77" i="1"/>
  <c r="DJ77" i="1"/>
  <c r="DI77" i="1"/>
  <c r="DD77" i="1"/>
  <c r="DA77" i="1"/>
  <c r="CZ77" i="1"/>
  <c r="CV77" i="1"/>
  <c r="CU77" i="1"/>
  <c r="CT77" i="1"/>
  <c r="CS77" i="1"/>
  <c r="CR77" i="1"/>
  <c r="CP77" i="1"/>
  <c r="CO77" i="1"/>
  <c r="CN77" i="1"/>
  <c r="CM77" i="1"/>
  <c r="CK77" i="1"/>
  <c r="CJ77" i="1"/>
  <c r="CA77" i="1"/>
  <c r="BY77" i="1"/>
  <c r="BU77" i="1"/>
  <c r="BR77" i="1"/>
  <c r="BQ77" i="1"/>
  <c r="BP77" i="1"/>
  <c r="BN77" i="1"/>
  <c r="BK77" i="1"/>
  <c r="BJ77" i="1"/>
  <c r="BH77" i="1"/>
  <c r="BG77" i="1"/>
  <c r="BF77" i="1"/>
  <c r="BE77" i="1"/>
  <c r="BB77" i="1"/>
  <c r="AP77" i="1"/>
  <c r="DP77" i="2"/>
  <c r="DT77" i="2"/>
  <c r="DU77" i="2"/>
  <c r="DW77" i="2"/>
  <c r="EA77" i="2"/>
  <c r="EB77" i="2"/>
  <c r="EC77" i="2"/>
  <c r="EE77" i="2"/>
  <c r="EG77" i="2"/>
  <c r="EJ77" i="2"/>
  <c r="EK77" i="2"/>
  <c r="EL77" i="2"/>
  <c r="EM77" i="2"/>
  <c r="EN77" i="2"/>
  <c r="CT77" i="2"/>
  <c r="CU77" i="2"/>
  <c r="CW77" i="2"/>
  <c r="CX77" i="2"/>
  <c r="CY77" i="2"/>
  <c r="CZ77" i="2"/>
  <c r="DI77" i="2"/>
  <c r="DJ77" i="2"/>
  <c r="DK77" i="2"/>
  <c r="DL77" i="2"/>
  <c r="DM77" i="2"/>
  <c r="BZ77" i="2"/>
  <c r="CB77" i="2"/>
  <c r="CC77" i="2"/>
  <c r="CD77" i="2"/>
  <c r="CE77" i="2"/>
  <c r="CH77" i="2"/>
  <c r="CI77" i="2"/>
  <c r="CJ77" i="2"/>
  <c r="CL77" i="2"/>
  <c r="CM77" i="2"/>
  <c r="CN77" i="2"/>
  <c r="CO77" i="2"/>
  <c r="CP77" i="2"/>
  <c r="CQ77" i="2"/>
  <c r="BE77" i="2"/>
  <c r="BF77" i="2"/>
  <c r="BI77" i="2"/>
  <c r="BL77" i="2"/>
  <c r="BM77" i="2"/>
  <c r="BQ77" i="2"/>
  <c r="BS77" i="2"/>
  <c r="BU77" i="2"/>
  <c r="BV77" i="2"/>
  <c r="BX77" i="2"/>
  <c r="P77" i="2"/>
  <c r="R77" i="2"/>
  <c r="S77" i="2"/>
  <c r="U77" i="2"/>
  <c r="W77" i="2"/>
  <c r="Z77" i="2"/>
  <c r="AA77" i="2"/>
  <c r="AE77" i="2"/>
  <c r="AH77" i="2"/>
  <c r="AI77" i="2"/>
  <c r="AJ77" i="2"/>
  <c r="AM77" i="2"/>
  <c r="AN77" i="2"/>
  <c r="AQ77" i="2"/>
  <c r="AR77" i="2"/>
  <c r="AS77" i="2"/>
  <c r="AT77" i="2"/>
  <c r="AU77" i="2"/>
  <c r="AV77" i="2"/>
  <c r="AW77" i="2"/>
  <c r="AX77" i="2"/>
  <c r="AZ77" i="2"/>
  <c r="BA77" i="2"/>
  <c r="L77" i="2"/>
  <c r="CR77" i="2"/>
  <c r="I77" i="1"/>
  <c r="J77" i="1"/>
  <c r="M77" i="1"/>
  <c r="R77" i="1"/>
  <c r="S77" i="1"/>
  <c r="V77" i="1"/>
  <c r="AB77" i="1"/>
  <c r="AW77" i="1"/>
  <c r="AX77" i="1"/>
  <c r="AY77" i="1"/>
  <c r="AZ77" i="1"/>
  <c r="CH77" i="1"/>
  <c r="CI77" i="1"/>
  <c r="DS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I77" i="1"/>
  <c r="EJ77" i="1"/>
  <c r="EK77" i="1"/>
  <c r="EL77" i="1"/>
  <c r="EN77" i="1"/>
  <c r="EO77" i="1"/>
  <c r="EP77" i="1"/>
  <c r="EQ77" i="1"/>
  <c r="ES77" i="1"/>
  <c r="ET77" i="1"/>
  <c r="EV77" i="1"/>
  <c r="EX77" i="1"/>
  <c r="EY77" i="1"/>
  <c r="FB77" i="1"/>
  <c r="FE77" i="1"/>
  <c r="FF77" i="1"/>
  <c r="FG77" i="1"/>
  <c r="FI77" i="1"/>
  <c r="FJ77" i="1"/>
  <c r="FK77" i="1"/>
  <c r="FN77" i="1"/>
  <c r="FO77" i="1"/>
  <c r="FT77" i="1"/>
  <c r="FU77" i="1"/>
  <c r="FV77" i="1"/>
  <c r="FW77" i="1"/>
  <c r="FX77" i="1"/>
  <c r="FY77" i="1"/>
  <c r="GA77" i="1"/>
  <c r="GB77" i="1"/>
  <c r="GD77" i="1"/>
  <c r="GE77" i="1"/>
  <c r="GF77" i="1"/>
  <c r="GG77" i="1"/>
  <c r="GH77" i="1"/>
</calcChain>
</file>

<file path=xl/sharedStrings.xml><?xml version="1.0" encoding="utf-8"?>
<sst xmlns="http://schemas.openxmlformats.org/spreadsheetml/2006/main" count="1211" uniqueCount="512">
  <si>
    <t>Ques.Reference</t>
  </si>
  <si>
    <t>Date</t>
  </si>
  <si>
    <t>Name of School</t>
  </si>
  <si>
    <t>Location</t>
  </si>
  <si>
    <t>No. Sessions</t>
  </si>
  <si>
    <t>Leinster</t>
  </si>
  <si>
    <t>Munster</t>
  </si>
  <si>
    <t>Connacht </t>
  </si>
  <si>
    <t>Ulster</t>
  </si>
  <si>
    <t>No. Participants</t>
  </si>
  <si>
    <t>Gender</t>
  </si>
  <si>
    <t>Coaches</t>
  </si>
  <si>
    <t>Feedback Received</t>
  </si>
  <si>
    <t>Number received</t>
  </si>
  <si>
    <t>Teacher Received</t>
  </si>
  <si>
    <t>Ages</t>
  </si>
  <si>
    <t>Very Much Enjoy</t>
  </si>
  <si>
    <t>Quite Enjoyed</t>
  </si>
  <si>
    <t>Somewhat Enjoyed</t>
  </si>
  <si>
    <t>Did not Enjoy</t>
  </si>
  <si>
    <t>None</t>
  </si>
  <si>
    <t>Check</t>
  </si>
  <si>
    <t>Ireland</t>
  </si>
  <si>
    <t>Northern Ireland</t>
  </si>
  <si>
    <t>Cyprus</t>
  </si>
  <si>
    <t>Poland</t>
  </si>
  <si>
    <t>Scotland</t>
  </si>
  <si>
    <t>Bosnia Her</t>
  </si>
  <si>
    <t>Iceland</t>
  </si>
  <si>
    <t>Lithuania</t>
  </si>
  <si>
    <t>Hungary</t>
  </si>
  <si>
    <t>Germany</t>
  </si>
  <si>
    <t>Georgia</t>
  </si>
  <si>
    <t>Bulgaria</t>
  </si>
  <si>
    <t>Belgium</t>
  </si>
  <si>
    <t>Italy</t>
  </si>
  <si>
    <t>Serbia</t>
  </si>
  <si>
    <t>Latvia</t>
  </si>
  <si>
    <t>Macedonia</t>
  </si>
  <si>
    <t>Romania</t>
  </si>
  <si>
    <t>Ukraine</t>
  </si>
  <si>
    <t>Greece</t>
  </si>
  <si>
    <t>Netherlands</t>
  </si>
  <si>
    <t>Spain</t>
  </si>
  <si>
    <t>Slovakia</t>
  </si>
  <si>
    <t>France</t>
  </si>
  <si>
    <t>Portugal</t>
  </si>
  <si>
    <t>Wales</t>
  </si>
  <si>
    <t>Finland</t>
  </si>
  <si>
    <t>Belarus</t>
  </si>
  <si>
    <t>Denmark</t>
  </si>
  <si>
    <t>Malta</t>
  </si>
  <si>
    <t>Sweden</t>
  </si>
  <si>
    <t>Estonia</t>
  </si>
  <si>
    <t>Armenia</t>
  </si>
  <si>
    <t>Albania</t>
  </si>
  <si>
    <t>Czech Republic</t>
  </si>
  <si>
    <t>Croatia</t>
  </si>
  <si>
    <t>Switzerland</t>
  </si>
  <si>
    <t>Norway</t>
  </si>
  <si>
    <t>Slovenia</t>
  </si>
  <si>
    <t>Botswana</t>
  </si>
  <si>
    <t>Ethiopia</t>
  </si>
  <si>
    <t>DRC</t>
  </si>
  <si>
    <t>Ghana</t>
  </si>
  <si>
    <t>Senegal</t>
  </si>
  <si>
    <t>Cameroon</t>
  </si>
  <si>
    <t>Nigeria</t>
  </si>
  <si>
    <t>Congo</t>
  </si>
  <si>
    <t>Somalia</t>
  </si>
  <si>
    <t>Eritrea</t>
  </si>
  <si>
    <t>Syria</t>
  </si>
  <si>
    <t>South Africa</t>
  </si>
  <si>
    <t>Zimbabwe</t>
  </si>
  <si>
    <t>Mozambique</t>
  </si>
  <si>
    <t>Mauritius</t>
  </si>
  <si>
    <t>Mongolia</t>
  </si>
  <si>
    <t>Bolivia</t>
  </si>
  <si>
    <t>Palestine</t>
  </si>
  <si>
    <t>Marocco</t>
  </si>
  <si>
    <t>Sudan</t>
  </si>
  <si>
    <t>Angola</t>
  </si>
  <si>
    <t>Zambia</t>
  </si>
  <si>
    <t>Egypt</t>
  </si>
  <si>
    <t>Algeria</t>
  </si>
  <si>
    <t>Libya</t>
  </si>
  <si>
    <t>East Africa</t>
  </si>
  <si>
    <t>Iran</t>
  </si>
  <si>
    <t>Dubai(UAE)</t>
  </si>
  <si>
    <t>Iraq</t>
  </si>
  <si>
    <t>Saudi Arabia</t>
  </si>
  <si>
    <t>Turkey</t>
  </si>
  <si>
    <t>Liberia</t>
  </si>
  <si>
    <t>Lebanon</t>
  </si>
  <si>
    <t>Guinea</t>
  </si>
  <si>
    <t>Lesotho</t>
  </si>
  <si>
    <t>Malawi</t>
  </si>
  <si>
    <t>Kenya</t>
  </si>
  <si>
    <t>Mali</t>
  </si>
  <si>
    <t>Benin</t>
  </si>
  <si>
    <t>Ivory Coast</t>
  </si>
  <si>
    <t>Tanzania</t>
  </si>
  <si>
    <t>Togo</t>
  </si>
  <si>
    <t>Tunisia</t>
  </si>
  <si>
    <t>Israel</t>
  </si>
  <si>
    <t>Omen</t>
  </si>
  <si>
    <t>Yemen</t>
  </si>
  <si>
    <t>Jordan</t>
  </si>
  <si>
    <t>Kuwait</t>
  </si>
  <si>
    <t>Uganda</t>
  </si>
  <si>
    <t>Sierra Leone</t>
  </si>
  <si>
    <t>Ecuador</t>
  </si>
  <si>
    <t>Argentina</t>
  </si>
  <si>
    <t>Uruguay</t>
  </si>
  <si>
    <t>Mexico</t>
  </si>
  <si>
    <t>Peru</t>
  </si>
  <si>
    <t>Brazil</t>
  </si>
  <si>
    <t>Columbia</t>
  </si>
  <si>
    <t>Chile</t>
  </si>
  <si>
    <t>USA</t>
  </si>
  <si>
    <t>Canada</t>
  </si>
  <si>
    <t>Jamaica</t>
  </si>
  <si>
    <t>Venezuela</t>
  </si>
  <si>
    <t>Costa Rica</t>
  </si>
  <si>
    <t>Hawai</t>
  </si>
  <si>
    <t>Guatamela</t>
  </si>
  <si>
    <t>Singapore</t>
  </si>
  <si>
    <t>Thailand</t>
  </si>
  <si>
    <t>Vietnam</t>
  </si>
  <si>
    <t>Cambodia</t>
  </si>
  <si>
    <t>Japan</t>
  </si>
  <si>
    <t>Phillipines</t>
  </si>
  <si>
    <t>China</t>
  </si>
  <si>
    <t>South Korea</t>
  </si>
  <si>
    <t>India</t>
  </si>
  <si>
    <t>Afghanistan</t>
  </si>
  <si>
    <t>Pakistan</t>
  </si>
  <si>
    <t>Nepal</t>
  </si>
  <si>
    <t>Kazakhstan</t>
  </si>
  <si>
    <t>Qatar</t>
  </si>
  <si>
    <t>Indonasia</t>
  </si>
  <si>
    <t>Malaysia</t>
  </si>
  <si>
    <t>Russia</t>
  </si>
  <si>
    <t>Kurdistan</t>
  </si>
  <si>
    <t>Australia</t>
  </si>
  <si>
    <t>New Zealand</t>
  </si>
  <si>
    <t>Swaziland</t>
  </si>
  <si>
    <t>Barbados</t>
  </si>
  <si>
    <t>Azerbaijan</t>
  </si>
  <si>
    <t>Myanmar</t>
  </si>
  <si>
    <t>Uzbekistan</t>
  </si>
  <si>
    <t>Male</t>
  </si>
  <si>
    <t>Female</t>
  </si>
  <si>
    <t>Other</t>
  </si>
  <si>
    <t>No Gender</t>
  </si>
  <si>
    <t xml:space="preserve">                     No Age</t>
  </si>
  <si>
    <t>18/+</t>
  </si>
  <si>
    <t>Duabi(UAE)</t>
  </si>
  <si>
    <t>Indonesia</t>
  </si>
  <si>
    <t>General Notes</t>
  </si>
  <si>
    <t>Students Notes</t>
  </si>
  <si>
    <t>Discrimination Game</t>
  </si>
  <si>
    <t>Language Barrier</t>
  </si>
  <si>
    <t>…</t>
  </si>
  <si>
    <t>Paraguay</t>
  </si>
  <si>
    <t>Kosovo</t>
  </si>
  <si>
    <t>Trinidad &amp; Tobago</t>
  </si>
  <si>
    <t>Taiwan</t>
  </si>
  <si>
    <t>Sri Lanka</t>
  </si>
  <si>
    <t>1st &amp; 2nd world Countries</t>
  </si>
  <si>
    <t>3rd World Countries</t>
  </si>
  <si>
    <t>No of Teacher</t>
  </si>
  <si>
    <t>No of SNA</t>
  </si>
  <si>
    <t>England</t>
  </si>
  <si>
    <t>Bahrain</t>
  </si>
  <si>
    <t>Burundi</t>
  </si>
  <si>
    <t>No of teachers</t>
  </si>
  <si>
    <t>Moldova</t>
  </si>
  <si>
    <t>Morocco</t>
  </si>
  <si>
    <t>09.01.2025</t>
  </si>
  <si>
    <t>Aston Vilage ETNS</t>
  </si>
  <si>
    <t xml:space="preserve"> </t>
  </si>
  <si>
    <t>Yes</t>
  </si>
  <si>
    <t>South Africa, Saudi Arabia, China, India x2, South Sudan</t>
  </si>
  <si>
    <t>Ireland x70, England, Russia, Latvia, Serbia, Portugal, Poland x3, Lithuanina, Latvia, New Zealand, Germany, Armenia</t>
  </si>
  <si>
    <t>South Sudan</t>
  </si>
  <si>
    <t>Dunlin St, Aston Village, Drogheda, Co. Louth</t>
  </si>
  <si>
    <t xml:space="preserve">Lithuania x9, Moldova x2, Poland x8, Russia, Romania x2, England x4, Croatia, Latvia x3, Czech Republic x2, </t>
  </si>
  <si>
    <t>Cambodia, Jamaica, Nigeria x2, Afghanistan, India, Ethipoia, Costa Rica</t>
  </si>
  <si>
    <t>Pictures Taken</t>
  </si>
  <si>
    <t>13.01.2025</t>
  </si>
  <si>
    <t>Portlaoise ETNS</t>
  </si>
  <si>
    <t>Downs Portlaoise, Co.Laoise</t>
  </si>
  <si>
    <t>Kerrie,Taha,Melissa</t>
  </si>
  <si>
    <t>Ireland x64, Lithuania x2, Romania x2, Slovakia x2, Czech Republic, Spain, Moldova, Belgium, Poland</t>
  </si>
  <si>
    <t>Pakistan x5, Nigeria x2, India x3, Egypt, Australia, Brazil</t>
  </si>
  <si>
    <t>Algeria, Syria, South Africa x2, Malaysia, China, Pakistan x7, Africa, Sudan, India, Mauritius, Dubai</t>
  </si>
  <si>
    <t>Africa</t>
  </si>
  <si>
    <t>2.a &amp; 2.b</t>
  </si>
  <si>
    <t>14.01.2025</t>
  </si>
  <si>
    <t>Drimnagh Castle</t>
  </si>
  <si>
    <t>Long Mile Rd, Walkinstown, Dublin 12</t>
  </si>
  <si>
    <t>Ireland x46, Latvia, Poland</t>
  </si>
  <si>
    <t>India x5, Saudi Arabia, Tunisia, Cyprus, Oman, Nigeria x4, Somalia, Egypt, Bangladesh, Vietnam, Ghana, Turkey,Dubai</t>
  </si>
  <si>
    <t>Oman</t>
  </si>
  <si>
    <t>Bangladesh</t>
  </si>
  <si>
    <t>Czech Republic x5, Poland x10, France, England, Latvia x6, Moldova x2, Lithuania x11, Slovakia x3, Romania, Germany, Hungary</t>
  </si>
  <si>
    <t>Pakistan, Palestine, Nigeria, India</t>
  </si>
  <si>
    <t>Poland, Phillippines, Latvia, Albania, England x4, Norway, Czech Republic</t>
  </si>
  <si>
    <t>5th classes have kids from DPC in Red Cow</t>
  </si>
  <si>
    <t>15.01.2025</t>
  </si>
  <si>
    <t>3.a,3.b &amp; 3.c</t>
  </si>
  <si>
    <t xml:space="preserve">Ireland x49, Italy x2, Moldova, Lithuania, Bulgaria, England, </t>
  </si>
  <si>
    <t>India x4, China x2, Somalia x2, Mauritius, Palestine, Egypt, Bangladesh</t>
  </si>
  <si>
    <t>Romania x2, Albania, England x2, Spain x2, Poland, Russia</t>
  </si>
  <si>
    <t>Congo, Somalia, Philippines, Kenya, China, India x2, Egypt, Palestine, Jordan, Bangladesh x2, Pakistan</t>
  </si>
  <si>
    <t>16.01.2025</t>
  </si>
  <si>
    <t xml:space="preserve">CBC Monkstown </t>
  </si>
  <si>
    <t>Mounttown Rd, Upper, Dun Laoghaire</t>
  </si>
  <si>
    <t>1(SNA)</t>
  </si>
  <si>
    <t xml:space="preserve">Ireland x72, England x5, Ukraine x2, Russia, Netherlands, Spain, Poland, </t>
  </si>
  <si>
    <t>Oman, China x2, Australia</t>
  </si>
  <si>
    <t>England x7, New Zealand x2, Poland x2, Netherlands, Germany, Scotland, Wales, Italy, Spain</t>
  </si>
  <si>
    <t>Australia, China x3, India, Philippines</t>
  </si>
  <si>
    <t>17.01.2025</t>
  </si>
  <si>
    <t>Ireland x67, England x4, Netherlands, Luxembourg, Spain, Finland, Russia</t>
  </si>
  <si>
    <t>India x2, China x3, Australia, USA, Dubai, Pakistan</t>
  </si>
  <si>
    <t>Luxembourg</t>
  </si>
  <si>
    <t>England x7, Latvia, France, Switzerland, Portugal, Czech Republic, Spain, Lithuania</t>
  </si>
  <si>
    <t>Phillipines x3, Ghana, USA x2, Australia x2, China, Cameroon</t>
  </si>
  <si>
    <t>1 child sat out for the right reason</t>
  </si>
  <si>
    <t>20.01.2025</t>
  </si>
  <si>
    <t>Coolmine Community School</t>
  </si>
  <si>
    <t>Blanchardstown, Dublin 15</t>
  </si>
  <si>
    <t>Kerrie,Taha,Melissa,Zinedin</t>
  </si>
  <si>
    <t>China x2, Phillipines, Zimbabwe</t>
  </si>
  <si>
    <t>Nigeria, Sierre Leone, Phillipines</t>
  </si>
  <si>
    <t>Sierre Leone</t>
  </si>
  <si>
    <t>4(1Polish PE teacher)</t>
  </si>
  <si>
    <t>5 boys special needs</t>
  </si>
  <si>
    <t>21.01.2025</t>
  </si>
  <si>
    <t>68?</t>
  </si>
  <si>
    <t xml:space="preserve">Ireland x52, Moldova, Spain, Romania, Ukraine, Lithuania, </t>
  </si>
  <si>
    <t>Moldova, France, Lithuania, Poland x2, Estonia, Romania x2, England,Cyprus, Bosnia</t>
  </si>
  <si>
    <t>6 Tys spectating, We also received 68 participant questionaires not including teachers whilewe only had 61 in the workshop</t>
  </si>
  <si>
    <t>Ireland x70, Romania x4, Lithuania, Latvia, Hungary, Ukraine x4, Moldova x5, Poland, Swden, Bosnia, Greece, England</t>
  </si>
  <si>
    <t>Congo, China, India x2, Brazil x2, Phillipines, Mauritius, Qatar, South Africa</t>
  </si>
  <si>
    <t>Poland x5, Moldova x3, Lithuana, Italy x2, Latvia, Slovakia x2, Russia, France, Estonia, Romania x6, Spain</t>
  </si>
  <si>
    <t>India, Iraq, Nigeria x4, Phillipines, Congo x3, St Vincent, Ghana, New Zealand, Egypt x2, USA x2, Gambia</t>
  </si>
  <si>
    <t>St Vincent</t>
  </si>
  <si>
    <t>Gambia</t>
  </si>
  <si>
    <t>29.01.2025</t>
  </si>
  <si>
    <t>Ashbourne ETNS</t>
  </si>
  <si>
    <t>Ballybin, Ashbourne, Co. Meath</t>
  </si>
  <si>
    <t>Ireland x45, Croatia, Spain, Cyprus</t>
  </si>
  <si>
    <t>Libya x2, India, Nigeria</t>
  </si>
  <si>
    <t>Romania x3, Moldova x2, Spain x2, Latviax x3, Lithuania x3, Poland x6, England, Germany x2,</t>
  </si>
  <si>
    <t>Peru, South Africa, Turkey, Montenegro, Pakistan, China x2, Bangladesh, Argentina, Nigeria x2, India</t>
  </si>
  <si>
    <t>Montenegro</t>
  </si>
  <si>
    <t>30.01.2025</t>
  </si>
  <si>
    <t>4 Tys spectating, Some of this class disruptive and an email has been send to Trudy to get remaining questionnaires back., also no teachers in last session</t>
  </si>
  <si>
    <t xml:space="preserve">Ireland x36, Croatia, Germany, Poland, Moldova, Latvia, Greece, </t>
  </si>
  <si>
    <t>India x2, Australia, Thailand, Egypt</t>
  </si>
  <si>
    <t>Ireland, Romania x3, Nothern Ireland, Scotland x2, Poland x3, Lithuania x4, Belarus, Czech Republic, Latvia x3, Slovakia, Moldova x2, England x3</t>
  </si>
  <si>
    <t>Peru, Phillipines, Egypt x2, Nigeria x2</t>
  </si>
  <si>
    <t>2 boys special needs</t>
  </si>
  <si>
    <t>04.02.2025</t>
  </si>
  <si>
    <t>Waterford ETNS</t>
  </si>
  <si>
    <t>Carrickpherish Rd, Waterford</t>
  </si>
  <si>
    <t>Ireland x23, Poland, Italy, Hungary, Romania, Lithuania, Sweden, Serbia, Ukraine x2</t>
  </si>
  <si>
    <t>India, Nigeria x2, Saudi Arabia, Kuwait, South Africa</t>
  </si>
  <si>
    <t>Lithuania, Poland x5, Slovakia, Russia, England x3, Moldova, Hungary x3, Spain</t>
  </si>
  <si>
    <t>India x3, Nigeria, Sudan x3, Zimbabwe, Papau New Guinea</t>
  </si>
  <si>
    <t>Papa New Guinea</t>
  </si>
  <si>
    <t>05.02.2025</t>
  </si>
  <si>
    <t>St James Primary School</t>
  </si>
  <si>
    <t>Basin Lane, The Liberties, Dublin 8</t>
  </si>
  <si>
    <t>Kerrie,Zinedin,Melissa</t>
  </si>
  <si>
    <t>Ireland x44, Romania, Spain, Ukraine, England, Italy</t>
  </si>
  <si>
    <t>South Africa x2, Nigeria, India x2</t>
  </si>
  <si>
    <t>Scotland, Ireland x4, England x5, Romania x2, Germany</t>
  </si>
  <si>
    <t>Pakistan, USA, South Africa x3, Nigeria x3, Somalia x2, Zimbabwe, Brazil, Kazakhistan, Egypt</t>
  </si>
  <si>
    <t>1(from Spain)</t>
  </si>
  <si>
    <t>1 Ty spectating</t>
  </si>
  <si>
    <t>12.a &amp; 12.b</t>
  </si>
  <si>
    <t>8.a,8.b &amp; 8.c</t>
  </si>
  <si>
    <t>06.02.2025</t>
  </si>
  <si>
    <t>Carlow ETNS</t>
  </si>
  <si>
    <t>Athy Rd, Bestfield, Carlow Town, Co. Carlow</t>
  </si>
  <si>
    <t>Ireland x79, Estonia, France, England x2, Romania, Guerensy, Poland, Croatia</t>
  </si>
  <si>
    <t>Brazil, South Africa x2, Zimbabwe x2, India, Canada, Mexico, Venezuela, UAE</t>
  </si>
  <si>
    <t>Guerensy</t>
  </si>
  <si>
    <t>Turkey, USA x2, Morocco, Jamaica, Zimbabwe, Pakistan, India, Mauritius</t>
  </si>
  <si>
    <t>Poland x12, Portugal, Italy, Latvia, Scotland, Wales, England x3, Romania, Netherlands, Czech Republic, Estonia, Slovakia x2</t>
  </si>
  <si>
    <t>1 subsitute</t>
  </si>
  <si>
    <t>1 boy special needs</t>
  </si>
  <si>
    <t>13.a &amp; 13.b</t>
  </si>
  <si>
    <t>10.02.2025</t>
  </si>
  <si>
    <t>North Bay ETNS</t>
  </si>
  <si>
    <t>Greendale Ave, Raheny, Dublin</t>
  </si>
  <si>
    <t>Ireland x46, Hungary, Italy</t>
  </si>
  <si>
    <t>Turkey, Canada, Argentina</t>
  </si>
  <si>
    <t>14.a &amp; 14.b</t>
  </si>
  <si>
    <t>France x2, Poland x4, Ukraine x4, Switzerland, Germany, Sweden, Netherlands, Spain, Ireland, Scotland</t>
  </si>
  <si>
    <t>Turkey, USA, Canada x2, Kenya, Phillipines, China, South Africa</t>
  </si>
  <si>
    <t>15.a &amp; 15.b</t>
  </si>
  <si>
    <t>12.02.2025</t>
  </si>
  <si>
    <t>St Kevin's BNS</t>
  </si>
  <si>
    <t>Barry Avenue, Finglas West, Dublin 11</t>
  </si>
  <si>
    <t>Ireland x32, Romania</t>
  </si>
  <si>
    <t>Romania x3, Latvia, England x4, Portugal, Russia, France</t>
  </si>
  <si>
    <t>Nigeria x2, India</t>
  </si>
  <si>
    <t>13.02.2025</t>
  </si>
  <si>
    <t>O'conell Primary School</t>
  </si>
  <si>
    <t>Richmond Street, North, Drumcondra, Dubli 1</t>
  </si>
  <si>
    <t>2+1 SNA</t>
  </si>
  <si>
    <t>Ireland x19, Romania x4, Italy x2, England, Spain</t>
  </si>
  <si>
    <t xml:space="preserve">Poland x3, Romania x4, </t>
  </si>
  <si>
    <t>Mauriitus x2, China</t>
  </si>
  <si>
    <t>2 mixed classes</t>
  </si>
  <si>
    <t>14.02.2025</t>
  </si>
  <si>
    <t>18.02.2025</t>
  </si>
  <si>
    <t xml:space="preserve">Griffith Barracks </t>
  </si>
  <si>
    <t>24.02.2025</t>
  </si>
  <si>
    <t>Carrigtwohill CNS</t>
  </si>
  <si>
    <t>25.02.2025</t>
  </si>
  <si>
    <t>26.02.2025</t>
  </si>
  <si>
    <t>Scoil Fhinin Naofa</t>
  </si>
  <si>
    <t>27.02.2025</t>
  </si>
  <si>
    <t>Larkin Community College</t>
  </si>
  <si>
    <t>Champions Avenue, Dublin 1</t>
  </si>
  <si>
    <t>03.03.2025</t>
  </si>
  <si>
    <t>CBS New Ross</t>
  </si>
  <si>
    <t>04.03.2025</t>
  </si>
  <si>
    <t>06.03.2025</t>
  </si>
  <si>
    <t>Marino Cathal Brugha</t>
  </si>
  <si>
    <t>10.03.2025</t>
  </si>
  <si>
    <t>Pipers Hill College</t>
  </si>
  <si>
    <t>Killashee, Naas</t>
  </si>
  <si>
    <t>11.03.2025</t>
  </si>
  <si>
    <t>12.03.2025</t>
  </si>
  <si>
    <t>De La Salle College</t>
  </si>
  <si>
    <t>Towlaght, Co.Meath</t>
  </si>
  <si>
    <t>USA, Australia</t>
  </si>
  <si>
    <t>Ireland x9, Romania</t>
  </si>
  <si>
    <t>Italy,England</t>
  </si>
  <si>
    <t>Aston Village ETNS</t>
  </si>
  <si>
    <t>Ireand x33, Lithuania,Latvia x3, Italy, Mauritius, Romania x3, Georgia,Pakistan, Malaysia,Switzerland,Poland x2,Spain</t>
  </si>
  <si>
    <t>Bangladesh,Nigeria,Brazil x2</t>
  </si>
  <si>
    <t>Lithuania x2, Hungary, Germnay x2, Russia, Phillipines,Pakistan,Poland, Romania,England</t>
  </si>
  <si>
    <t>Nigeria,Mauritius,South Africa,Mongolia</t>
  </si>
  <si>
    <t>Churchtown Rd Upper, Dublin 14</t>
  </si>
  <si>
    <t>Kerrie,Zinedin,Melissa,Taha</t>
  </si>
  <si>
    <t>Kerrie,Teo,Melissa</t>
  </si>
  <si>
    <t>Ireland x79, Spain x5, Nothern Ireland x2, America, Poland, Canada</t>
  </si>
  <si>
    <t>Nigeria x3</t>
  </si>
  <si>
    <t xml:space="preserve">England, Poland x2, Latvia, Nothern Ireland, Italy, </t>
  </si>
  <si>
    <t>Thailand, Argentina, Nigeria x3, Kenya, Zambia</t>
  </si>
  <si>
    <t>Churchtown Rd upper, Dublin 14</t>
  </si>
  <si>
    <t>14.03.2025</t>
  </si>
  <si>
    <t>Millstreet College</t>
  </si>
  <si>
    <t>Coomlogane, Millstreet, Co. Cork</t>
  </si>
  <si>
    <t>Zinedin,Taha,Melissa</t>
  </si>
  <si>
    <t>Ireland x31, America, Italy, Ukraine x2, Lithuania</t>
  </si>
  <si>
    <t>South Africa, Congo, Jordon, Nigeria, Laos</t>
  </si>
  <si>
    <t>Laos</t>
  </si>
  <si>
    <t>Poland x4, Ireland, England</t>
  </si>
  <si>
    <t>Nigeria, Pakistan,Laos</t>
  </si>
  <si>
    <t>25.03.2025</t>
  </si>
  <si>
    <t>26.03.2025</t>
  </si>
  <si>
    <t>27.03.2025</t>
  </si>
  <si>
    <t>Lusk Community College</t>
  </si>
  <si>
    <t>28.03.2025</t>
  </si>
  <si>
    <t>St. Pauls College</t>
  </si>
  <si>
    <t>Raheny Ln, Rathmore Rd, Lusk Co. Dublin</t>
  </si>
  <si>
    <t>Sybill Hill Rd, Clontarf East, Dublin</t>
  </si>
  <si>
    <t>04.04.2025</t>
  </si>
  <si>
    <t>Clonkeen College</t>
  </si>
  <si>
    <t>Clonkeen Rd, Deansgrange, Blackrock, Co. Dublin</t>
  </si>
  <si>
    <t>Kerrie, Teo, Melissa, Taha</t>
  </si>
  <si>
    <t>Ireland x40, Italy, Ukraine, USA, Spain, Russia</t>
  </si>
  <si>
    <t>India x2, Nigeria</t>
  </si>
  <si>
    <t>France, Algeria, Poland x2, Morocco, Latvia, Albania,  Ukraine</t>
  </si>
  <si>
    <t>4 5th Years Observing</t>
  </si>
  <si>
    <t>red team passed ball to captain</t>
  </si>
  <si>
    <t>Thailand, Nigeria x3, Mexico, India, China</t>
  </si>
  <si>
    <t>Pakistan, South Africa, Phillipines, Nigeria, Sierre Leone, India x3, Nepal</t>
  </si>
  <si>
    <t>Kerrie, Melisa, Taha</t>
  </si>
  <si>
    <t>Moldova, England, Ukraine, Czech Republic, Latvia x3, Finland x2, Poland x4, Romania</t>
  </si>
  <si>
    <t>Kerie,Melissa, Zinedin</t>
  </si>
  <si>
    <t>UAE, USA, Poland, Netherlands</t>
  </si>
  <si>
    <t>Poland x2, Scotland, England x2, Phillipines, Spain x2, Cuba, Latvia</t>
  </si>
  <si>
    <t>Cuba</t>
  </si>
  <si>
    <t>Ireland x27, USA</t>
  </si>
  <si>
    <t xml:space="preserve">Wales, Poland x3, Romania, Italy, </t>
  </si>
  <si>
    <t>Vietnam, India, South Africa, Nigeria x2</t>
  </si>
  <si>
    <t>Kerrie,Melisa,Teo, Zinedin</t>
  </si>
  <si>
    <t>Irelnd x133, France x2, Hungary, England, UAE, Serbia, Ethiopia</t>
  </si>
  <si>
    <t>Thailand, China</t>
  </si>
  <si>
    <t>Romania, Latvia, Italy x2, Spain x2, England x4, Lithuania, New Zealand x2, France, Phillipines, Hungary, Poalnd x4, Sweden, Ukraine x2, Ireland, Scotland, Moldova x2,</t>
  </si>
  <si>
    <t>China x4, Mongolia, India, Bangladesh</t>
  </si>
  <si>
    <t>07.04.2025</t>
  </si>
  <si>
    <t>08.04.2025</t>
  </si>
  <si>
    <t>Curragh Community College</t>
  </si>
  <si>
    <t>McSwiney Rd, Curragh, Co.Kildare</t>
  </si>
  <si>
    <t>28.04.2025</t>
  </si>
  <si>
    <t>St Josephs CBS</t>
  </si>
  <si>
    <t>29.04.2025</t>
  </si>
  <si>
    <t>Merville Ave, Fairview,, Dublin 3</t>
  </si>
  <si>
    <t>Kerrie,Melisa,Teo,Taha</t>
  </si>
  <si>
    <t>Ireland x128, Poland, Moldova, Egypt, Lithuania</t>
  </si>
  <si>
    <t>India, Nigeria x2, Pakistan</t>
  </si>
  <si>
    <t>Phillipines x4, Turkey, Japan, Latvia, England x6, Italy, Mauritius, Lithuania, Czech, Poland, Moldova, Canada, New Zealand</t>
  </si>
  <si>
    <t>Nigeria x2, Pakistan x2, Malawi, China, Thailand</t>
  </si>
  <si>
    <t>St Audoens NS</t>
  </si>
  <si>
    <t>Cook Street, Dublin 8</t>
  </si>
  <si>
    <t>Kerrie,Melisa,Taha</t>
  </si>
  <si>
    <t>Ireland x67, England, Ukraine, Russia, New Zealand</t>
  </si>
  <si>
    <t>India x2</t>
  </si>
  <si>
    <t>Philipines x2, Morocco, Russia x2, Poland x2, Latvia x2, Turkey, England x2, Ukraine, Scotland</t>
  </si>
  <si>
    <t>India, China, Pakistan x2, South Africa</t>
  </si>
  <si>
    <t>01.05.2025</t>
  </si>
  <si>
    <t>07.05.2025</t>
  </si>
  <si>
    <t>Thomas Davis St, Inchicore, Dublin</t>
  </si>
  <si>
    <t>Mercy Secondary School</t>
  </si>
  <si>
    <t>Kerrie, Melisa, Teo, Zinedin</t>
  </si>
  <si>
    <t>Ireland x44, Algeria, Bolivia, Poland x2</t>
  </si>
  <si>
    <t>Nigeria, India</t>
  </si>
  <si>
    <t>Poland x3, Spain, Latvia, France, Algeria, Romania, Scotland x2, Nothern Ireland</t>
  </si>
  <si>
    <t>Nigeria, Iraq</t>
  </si>
  <si>
    <t>Ireland x17, Romania, Italy</t>
  </si>
  <si>
    <t>Poland, England x3</t>
  </si>
  <si>
    <t>Nigeria x2</t>
  </si>
  <si>
    <t>St Vincents GNS</t>
  </si>
  <si>
    <t>William Street North, Dublin</t>
  </si>
  <si>
    <t>Kerrie, Melisa, Zinedin, Taha, Alanah</t>
  </si>
  <si>
    <t>Ireland x51, Italy, Sweden x2, Romania x12, Spain x2, Mauriitus, Egypt</t>
  </si>
  <si>
    <t>Bangladesh x2, Cyprus, Mongolia, India x3, Angola, Nigeria, Somalia</t>
  </si>
  <si>
    <t>Romania x5, Malaysia, Mauriitus x2, Morocco, Australia, Algeria, Ireland, Albania, Italy</t>
  </si>
  <si>
    <t>Bangladesh x3, China, India x2, Kenya, Somalia x2</t>
  </si>
  <si>
    <t>1 girl with autism</t>
  </si>
  <si>
    <t>Mountgarret Ln, Bowling Green, Newross, Co. Wexford</t>
  </si>
  <si>
    <t>Syria, Nigeria</t>
  </si>
  <si>
    <t>Ireland x59, Poland x5</t>
  </si>
  <si>
    <t>England x4, Poalnd x13, Wales x2, Ukraine</t>
  </si>
  <si>
    <t>Philpines, Nigeria</t>
  </si>
  <si>
    <t>Ireland x51, Italy x2, Ukraine x2, Poland x5, Lithuania, Australia, England</t>
  </si>
  <si>
    <t>Zimbabwe x2, Namibia, South Africa</t>
  </si>
  <si>
    <t>Namibia</t>
  </si>
  <si>
    <t>Poalnd x8, England x2, Lithuania, Russia x2</t>
  </si>
  <si>
    <t>11.05.25</t>
  </si>
  <si>
    <t xml:space="preserve">Drimnagh Castle Primary </t>
  </si>
  <si>
    <t>Longmile Rd, Walkinstown, Dublin 12</t>
  </si>
  <si>
    <t>Kerrie, Melisa, Zinedin,</t>
  </si>
  <si>
    <t>Ireland x54, Italy, Moldova, Egypt x2</t>
  </si>
  <si>
    <t>China x3, India x5, Somalia x2, Pakistan</t>
  </si>
  <si>
    <t>Phillipines x3, England, Spain, Columbia, Romania x2, Albania, Jordan, Russia, Egypt, Mauritius</t>
  </si>
  <si>
    <t>Congo, Pakistan, Somalia, South Africa, India x2, Bangladesh</t>
  </si>
  <si>
    <t>Follow Up Workshop</t>
  </si>
  <si>
    <t>03.04.25</t>
  </si>
  <si>
    <t>Mount Carmel</t>
  </si>
  <si>
    <t>Kings Inn St, Rotunda, Dublin 1</t>
  </si>
  <si>
    <t>Kerrie, Taha, Teo</t>
  </si>
  <si>
    <t>Ireland x42, Romania, Phillipines, Portugal, Ukraine, Poalnd</t>
  </si>
  <si>
    <t>China x2, Pakistan, Brazil, Congo, India, Botswana, Costa Rica</t>
  </si>
  <si>
    <t>Moldova, France, Poland x2, Italy x2, Romania, Spain, Mexico</t>
  </si>
  <si>
    <t>Nigeria, Angola x2, Somalia x3, Zimbabwe, Brazil, South Africa</t>
  </si>
  <si>
    <t>09.05.25</t>
  </si>
  <si>
    <t>Rutland NS</t>
  </si>
  <si>
    <t>Sean Macdermott Street Lower, Mountjoy, Dublin</t>
  </si>
  <si>
    <t>Ireland x14, Romania, Belarus</t>
  </si>
  <si>
    <t>England x2, Ukraine</t>
  </si>
  <si>
    <t>China x3, Kenya, Iran</t>
  </si>
  <si>
    <t>31.03.25</t>
  </si>
  <si>
    <t>42.a 42.b 42.c 42.d</t>
  </si>
  <si>
    <t>Maynooth BNS</t>
  </si>
  <si>
    <t>Moyglare Rd, Maynooth, Co. Kildare</t>
  </si>
  <si>
    <t>Kerie,Melissa, Taha</t>
  </si>
  <si>
    <t>Ireland x50, Russia x2, Croatia, Belgium, Philipines, England, Malta, Ukraine</t>
  </si>
  <si>
    <t>South Africa, Nigeria, Pakistan, China, Egypt, Palestine</t>
  </si>
  <si>
    <t xml:space="preserve">Poland x3, USA x3, England x3, Spain, Mauritius, Phillipines, Lithuania x3, Peru, Nothern Ireland x2, Canada, Ukraine x2 </t>
  </si>
  <si>
    <t>Ivory Coast, Japan, Pakistan</t>
  </si>
  <si>
    <t>08.05.2025</t>
  </si>
  <si>
    <t>St Laurenc O'Toole NS</t>
  </si>
  <si>
    <t>North Wall, Dublin</t>
  </si>
  <si>
    <t>Kerrie, Taha, Melisa</t>
  </si>
  <si>
    <t>Ireland x8, Denmark</t>
  </si>
  <si>
    <t>Nigeria, Congo, Bangladesh</t>
  </si>
  <si>
    <t>2 girls sitting out</t>
  </si>
  <si>
    <t>14.05.2025</t>
  </si>
  <si>
    <t>Scoil Chaomhin</t>
  </si>
  <si>
    <t>Malbourough Street, Dublin 1</t>
  </si>
  <si>
    <t>31.03.2025</t>
  </si>
  <si>
    <t>India x5, Palestine, Somalia, Brazil, Somalia x5</t>
  </si>
  <si>
    <t>Irealnd x9, Saudi Arabia, Italy, Ukraine, Romania, England, Sweden x2</t>
  </si>
  <si>
    <t>England, Romania x2, Phillipines x2, Mauriitius, Morocco</t>
  </si>
  <si>
    <t>Nigeria, Somalia x2, China, Ghana</t>
  </si>
  <si>
    <t>20.05.25</t>
  </si>
  <si>
    <t>Charrickpherish Rd, Co. Waterford</t>
  </si>
  <si>
    <t>Ireland x11, Hungary, Netherlands, Slovakia, Spain, Portugal</t>
  </si>
  <si>
    <t>India x2, South Africa x3, Zimbabwe</t>
  </si>
  <si>
    <t>Slovakia x5, England x2, Hungary, France, Spain, Poland x2, Lithuania x2</t>
  </si>
  <si>
    <t>China x2, Sudan x3, Congo, Rwanda, South Africa, Zambia, Jamaica</t>
  </si>
  <si>
    <t>Rwanda</t>
  </si>
  <si>
    <t>05.06.2025</t>
  </si>
  <si>
    <t>Mary Mother of Hope SNS</t>
  </si>
  <si>
    <t xml:space="preserve">Littleplace, Dublin </t>
  </si>
  <si>
    <t>Melisa,Taha,teo</t>
  </si>
  <si>
    <t>No</t>
  </si>
  <si>
    <t>11.06.2025</t>
  </si>
  <si>
    <t>Bayside SNS</t>
  </si>
  <si>
    <t>Verbana Avenue, Bayside,Sutton,Dublin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</si>
</sst>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1"/>
      <name val="Calibri (Body)_x0000_"/>
    </font>
    <font>
      <u/>
      <sz val="12"/>
      <color theme="10"/>
      <name val="Calibri"/>
      <family val="2"/>
      <scheme val="minor"/>
    </font>
    <font>
      <sz val="12"/>
      <color rgb="FF000000"/>
      <name val="Calibri (Body)"/>
    </font>
    <font>
      <b/>
      <sz val="12"/>
      <color rgb="FF000000"/>
      <name val="Calibri"/>
      <family val="2"/>
      <scheme val="minor"/>
    </font>
    <font>
      <sz val="12"/>
      <color rgb="FF70AD4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/>
    <xf numFmtId="0" fontId="1" fillId="0" borderId="0" xfId="0" applyFont="1" applyProtection="1">
      <protection locked="0"/>
    </xf>
    <xf numFmtId="17" fontId="1" fillId="0" borderId="0" xfId="0" applyNumberFormat="1" applyFont="1" applyAlignment="1" applyProtection="1">
      <alignment horizontal="left"/>
      <protection locked="0"/>
    </xf>
    <xf numFmtId="0" fontId="0" fillId="0" borderId="0" xfId="0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1" fillId="0" borderId="0" xfId="0" applyFont="1"/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/>
    <xf numFmtId="0" fontId="0" fillId="0" borderId="0" xfId="0" applyAlignment="1">
      <alignment horizontal="left"/>
    </xf>
    <xf numFmtId="0" fontId="2" fillId="2" borderId="0" xfId="0" applyFont="1" applyFill="1" applyProtection="1">
      <protection locked="0"/>
    </xf>
    <xf numFmtId="0" fontId="2" fillId="2" borderId="0" xfId="0" applyFont="1" applyFill="1"/>
    <xf numFmtId="17" fontId="1" fillId="0" borderId="0" xfId="0" applyNumberFormat="1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  <xf numFmtId="0" fontId="0" fillId="0" borderId="1" xfId="0" applyBorder="1"/>
    <xf numFmtId="0" fontId="7" fillId="0" borderId="0" xfId="0" applyFont="1" applyFill="1"/>
    <xf numFmtId="17" fontId="0" fillId="0" borderId="0" xfId="0" applyNumberFormat="1" applyFont="1" applyAlignment="1">
      <alignment horizontal="left"/>
    </xf>
    <xf numFmtId="17" fontId="8" fillId="0" borderId="0" xfId="0" applyNumberFormat="1" applyFont="1" applyAlignment="1">
      <alignment horizontal="left"/>
    </xf>
    <xf numFmtId="0" fontId="0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10" fillId="0" borderId="0" xfId="1" applyFont="1"/>
    <xf numFmtId="0" fontId="6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17" fontId="13" fillId="0" borderId="0" xfId="0" applyNumberFormat="1" applyFont="1" applyAlignment="1">
      <alignment horizontal="left"/>
    </xf>
    <xf numFmtId="0" fontId="14" fillId="0" borderId="0" xfId="0" applyFont="1"/>
    <xf numFmtId="0" fontId="0" fillId="0" borderId="0" xfId="0" applyFont="1" applyAlignment="1">
      <alignment horizontal="left"/>
    </xf>
    <xf numFmtId="17" fontId="1" fillId="0" borderId="0" xfId="0" applyNumberFormat="1" applyFont="1" applyAlignment="1">
      <alignment horizontal="center"/>
    </xf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E59F-30D4-4C4D-9DF5-D4DEF003D6AD}">
  <dimension ref="A1:GR78"/>
  <sheetViews>
    <sheetView tabSelected="1" topLeftCell="AX30" zoomScale="67" zoomScaleNormal="60" workbookViewId="0">
      <selection activeCell="AV85" sqref="AV85"/>
    </sheetView>
  </sheetViews>
  <sheetFormatPr baseColWidth="10" defaultRowHeight="16"/>
  <cols>
    <col min="1" max="1" width="14.5" style="18" customWidth="1"/>
    <col min="2" max="2" width="18.33203125" customWidth="1"/>
    <col min="3" max="3" width="31.5" customWidth="1"/>
    <col min="4" max="4" width="40.33203125" customWidth="1"/>
    <col min="5" max="5" width="13.6640625" customWidth="1"/>
    <col min="6" max="6" width="9.33203125" customWidth="1"/>
    <col min="7" max="7" width="8.83203125" customWidth="1"/>
    <col min="8" max="8" width="9.5" customWidth="1"/>
    <col min="9" max="9" width="7.83203125" customWidth="1"/>
    <col min="10" max="10" width="4.5" customWidth="1"/>
    <col min="11" max="11" width="17.1640625" customWidth="1"/>
    <col min="12" max="12" width="14.1640625" customWidth="1"/>
    <col min="13" max="13" width="3.6640625" customWidth="1"/>
    <col min="15" max="15" width="11" customWidth="1"/>
    <col min="18" max="18" width="31.83203125" customWidth="1"/>
    <col min="19" max="19" width="16.83203125" customWidth="1"/>
    <col min="20" max="20" width="15.33203125" customWidth="1"/>
    <col min="21" max="21" width="15.6640625" customWidth="1"/>
    <col min="22" max="22" width="4.5" customWidth="1"/>
    <col min="28" max="28" width="4.83203125" customWidth="1"/>
    <col min="29" max="29" width="8.1640625" customWidth="1"/>
    <col min="43" max="43" width="15.5" customWidth="1"/>
    <col min="44" max="44" width="12.6640625" customWidth="1"/>
    <col min="45" max="45" width="17" customWidth="1"/>
    <col min="46" max="46" width="13" customWidth="1"/>
    <col min="50" max="50" width="74.5" customWidth="1"/>
    <col min="51" max="51" width="80.1640625" customWidth="1"/>
    <col min="52" max="52" width="26.33203125" customWidth="1"/>
    <col min="54" max="54" width="15.5" customWidth="1"/>
    <col min="89" max="89" width="13.83203125" customWidth="1"/>
    <col min="106" max="106" width="11.6640625" customWidth="1"/>
    <col min="124" max="124" width="15" customWidth="1"/>
    <col min="133" max="133" width="16" customWidth="1"/>
    <col min="185" max="185" width="12.1640625" customWidth="1"/>
    <col min="192" max="192" width="12.6640625" customWidth="1"/>
  </cols>
  <sheetData>
    <row r="1" spans="1:200" s="5" customFormat="1">
      <c r="A1" s="16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176</v>
      </c>
      <c r="L1" s="1" t="s">
        <v>9</v>
      </c>
      <c r="M1" s="1"/>
      <c r="N1" s="1" t="s">
        <v>10</v>
      </c>
      <c r="O1" s="1"/>
      <c r="P1" s="3"/>
      <c r="Q1" s="1"/>
      <c r="R1" s="1" t="s">
        <v>11</v>
      </c>
      <c r="S1" s="4" t="s">
        <v>12</v>
      </c>
      <c r="T1" s="1" t="s">
        <v>13</v>
      </c>
      <c r="U1" s="1" t="s">
        <v>14</v>
      </c>
      <c r="V1" s="1"/>
      <c r="X1" s="1"/>
      <c r="Y1" s="1"/>
      <c r="Z1" s="1"/>
      <c r="AA1" s="1"/>
      <c r="AB1" s="1"/>
      <c r="AC1" s="1"/>
      <c r="AD1" s="1"/>
      <c r="AE1" s="1"/>
      <c r="AF1" s="1" t="s">
        <v>15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16</v>
      </c>
      <c r="AR1" s="1" t="s">
        <v>17</v>
      </c>
      <c r="AS1" s="1" t="s">
        <v>18</v>
      </c>
      <c r="AT1" s="1" t="s">
        <v>19</v>
      </c>
      <c r="AU1" s="1" t="s">
        <v>20</v>
      </c>
      <c r="AV1" s="1" t="s">
        <v>21</v>
      </c>
      <c r="AW1" s="3"/>
      <c r="AX1" s="1" t="s">
        <v>169</v>
      </c>
      <c r="AY1" s="1" t="s">
        <v>170</v>
      </c>
      <c r="AZ1" s="1"/>
      <c r="BA1" s="1" t="s">
        <v>22</v>
      </c>
      <c r="BB1" s="1" t="s">
        <v>23</v>
      </c>
      <c r="BC1" s="1" t="s">
        <v>24</v>
      </c>
      <c r="BD1" s="1" t="s">
        <v>25</v>
      </c>
      <c r="BE1" s="1" t="s">
        <v>26</v>
      </c>
      <c r="BF1" s="1" t="s">
        <v>27</v>
      </c>
      <c r="BG1" s="1" t="s">
        <v>28</v>
      </c>
      <c r="BH1" s="1" t="s">
        <v>29</v>
      </c>
      <c r="BI1" s="1" t="s">
        <v>30</v>
      </c>
      <c r="BJ1" s="1" t="s">
        <v>31</v>
      </c>
      <c r="BK1" s="1" t="s">
        <v>32</v>
      </c>
      <c r="BL1" s="1" t="s">
        <v>173</v>
      </c>
      <c r="BM1" s="1" t="s">
        <v>33</v>
      </c>
      <c r="BN1" s="1" t="s">
        <v>34</v>
      </c>
      <c r="BO1" s="1" t="s">
        <v>35</v>
      </c>
      <c r="BP1" s="1" t="s">
        <v>36</v>
      </c>
      <c r="BQ1" s="1" t="s">
        <v>37</v>
      </c>
      <c r="BR1" s="1" t="s">
        <v>38</v>
      </c>
      <c r="BS1" s="1" t="s">
        <v>39</v>
      </c>
      <c r="BT1" s="1" t="s">
        <v>40</v>
      </c>
      <c r="BU1" s="1" t="s">
        <v>41</v>
      </c>
      <c r="BV1" s="1" t="s">
        <v>42</v>
      </c>
      <c r="BW1" s="1" t="s">
        <v>43</v>
      </c>
      <c r="BX1" s="1" t="s">
        <v>44</v>
      </c>
      <c r="BY1" s="1" t="s">
        <v>45</v>
      </c>
      <c r="BZ1" s="1" t="s">
        <v>46</v>
      </c>
      <c r="CA1" s="1" t="s">
        <v>47</v>
      </c>
      <c r="CB1" s="1" t="s">
        <v>48</v>
      </c>
      <c r="CC1" s="1" t="s">
        <v>49</v>
      </c>
      <c r="CD1" s="1" t="s">
        <v>50</v>
      </c>
      <c r="CE1" s="1" t="s">
        <v>51</v>
      </c>
      <c r="CF1" s="1" t="s">
        <v>177</v>
      </c>
      <c r="CG1" s="1" t="s">
        <v>52</v>
      </c>
      <c r="CH1" s="6" t="s">
        <v>53</v>
      </c>
      <c r="CI1" s="6" t="s">
        <v>54</v>
      </c>
      <c r="CJ1" s="1" t="s">
        <v>55</v>
      </c>
      <c r="CK1" s="1" t="s">
        <v>56</v>
      </c>
      <c r="CL1" s="1" t="s">
        <v>57</v>
      </c>
      <c r="CM1" s="1" t="s">
        <v>58</v>
      </c>
      <c r="CN1" s="1" t="s">
        <v>59</v>
      </c>
      <c r="CO1" s="1" t="s">
        <v>60</v>
      </c>
      <c r="CP1" s="1" t="s">
        <v>165</v>
      </c>
      <c r="CQ1" s="1" t="s">
        <v>61</v>
      </c>
      <c r="CR1" s="1" t="s">
        <v>62</v>
      </c>
      <c r="CS1" s="1" t="s">
        <v>63</v>
      </c>
      <c r="CT1" s="1" t="s">
        <v>64</v>
      </c>
      <c r="CU1" s="1" t="s">
        <v>65</v>
      </c>
      <c r="CV1" s="1" t="s">
        <v>66</v>
      </c>
      <c r="CW1" s="1" t="s">
        <v>67</v>
      </c>
      <c r="CX1" s="1" t="s">
        <v>68</v>
      </c>
      <c r="CY1" s="1" t="s">
        <v>69</v>
      </c>
      <c r="CZ1" s="1" t="s">
        <v>70</v>
      </c>
      <c r="DA1" s="1" t="s">
        <v>71</v>
      </c>
      <c r="DB1" s="20" t="s">
        <v>72</v>
      </c>
      <c r="DC1" s="1" t="s">
        <v>73</v>
      </c>
      <c r="DD1" s="1" t="s">
        <v>74</v>
      </c>
      <c r="DE1" s="1" t="s">
        <v>75</v>
      </c>
      <c r="DF1" s="1" t="s">
        <v>76</v>
      </c>
      <c r="DG1" s="1" t="s">
        <v>77</v>
      </c>
      <c r="DH1" s="1" t="s">
        <v>78</v>
      </c>
      <c r="DI1" s="1" t="s">
        <v>79</v>
      </c>
      <c r="DJ1" s="1" t="s">
        <v>80</v>
      </c>
      <c r="DK1" s="1" t="s">
        <v>81</v>
      </c>
      <c r="DL1" s="1" t="s">
        <v>82</v>
      </c>
      <c r="DM1" s="1" t="s">
        <v>83</v>
      </c>
      <c r="DN1" s="1" t="s">
        <v>84</v>
      </c>
      <c r="DO1" s="1" t="s">
        <v>85</v>
      </c>
      <c r="DP1" s="1" t="s">
        <v>86</v>
      </c>
      <c r="DQ1" s="1" t="s">
        <v>87</v>
      </c>
      <c r="DR1" s="20" t="s">
        <v>88</v>
      </c>
      <c r="DS1" s="1" t="s">
        <v>89</v>
      </c>
      <c r="DT1" s="20" t="s">
        <v>90</v>
      </c>
      <c r="DU1" s="20" t="s">
        <v>91</v>
      </c>
      <c r="DV1" s="1" t="s">
        <v>92</v>
      </c>
      <c r="DW1" s="1" t="s">
        <v>93</v>
      </c>
      <c r="DX1" s="1" t="s">
        <v>94</v>
      </c>
      <c r="DY1" s="1" t="s">
        <v>95</v>
      </c>
      <c r="DZ1" s="1" t="s">
        <v>96</v>
      </c>
      <c r="EA1" s="1" t="s">
        <v>97</v>
      </c>
      <c r="EB1" s="1" t="s">
        <v>98</v>
      </c>
      <c r="EC1" s="1" t="s">
        <v>166</v>
      </c>
      <c r="ED1" s="1" t="s">
        <v>99</v>
      </c>
      <c r="EE1" s="1" t="s">
        <v>100</v>
      </c>
      <c r="EF1" s="1" t="s">
        <v>101</v>
      </c>
      <c r="EG1" s="7" t="s">
        <v>102</v>
      </c>
      <c r="EH1" s="1" t="s">
        <v>103</v>
      </c>
      <c r="EI1" s="20" t="s">
        <v>104</v>
      </c>
      <c r="EJ1" s="1" t="s">
        <v>204</v>
      </c>
      <c r="EK1" s="1" t="s">
        <v>106</v>
      </c>
      <c r="EL1" s="1" t="s">
        <v>174</v>
      </c>
      <c r="EM1" s="1" t="s">
        <v>107</v>
      </c>
      <c r="EN1" s="1" t="s">
        <v>108</v>
      </c>
      <c r="EO1" s="1" t="s">
        <v>109</v>
      </c>
      <c r="EP1" s="1" t="s">
        <v>110</v>
      </c>
      <c r="EQ1" s="1" t="s">
        <v>111</v>
      </c>
      <c r="ER1" s="1" t="s">
        <v>112</v>
      </c>
      <c r="ES1" s="1" t="s">
        <v>113</v>
      </c>
      <c r="ET1" s="1" t="s">
        <v>164</v>
      </c>
      <c r="EU1" s="1" t="s">
        <v>114</v>
      </c>
      <c r="EV1" s="1" t="s">
        <v>115</v>
      </c>
      <c r="EW1" s="1" t="s">
        <v>116</v>
      </c>
      <c r="EX1" s="1" t="s">
        <v>117</v>
      </c>
      <c r="EY1" s="1" t="s">
        <v>118</v>
      </c>
      <c r="EZ1" s="20" t="s">
        <v>119</v>
      </c>
      <c r="FA1" s="20" t="s">
        <v>120</v>
      </c>
      <c r="FB1" s="1" t="s">
        <v>121</v>
      </c>
      <c r="FC1" s="20" t="s">
        <v>122</v>
      </c>
      <c r="FD1" s="1" t="s">
        <v>123</v>
      </c>
      <c r="FE1" s="1" t="s">
        <v>124</v>
      </c>
      <c r="FF1" s="1" t="s">
        <v>125</v>
      </c>
      <c r="FG1" s="1" t="s">
        <v>126</v>
      </c>
      <c r="FH1" s="1" t="s">
        <v>127</v>
      </c>
      <c r="FI1" s="1" t="s">
        <v>128</v>
      </c>
      <c r="FJ1" s="1" t="s">
        <v>129</v>
      </c>
      <c r="FK1" s="20" t="s">
        <v>130</v>
      </c>
      <c r="FL1" s="1" t="s">
        <v>131</v>
      </c>
      <c r="FM1" s="1" t="s">
        <v>132</v>
      </c>
      <c r="FN1" s="1" t="s">
        <v>167</v>
      </c>
      <c r="FO1" s="20" t="s">
        <v>133</v>
      </c>
      <c r="FP1" s="1" t="s">
        <v>134</v>
      </c>
      <c r="FQ1" s="1" t="s">
        <v>135</v>
      </c>
      <c r="FR1" s="1" t="s">
        <v>136</v>
      </c>
      <c r="FS1" s="1" t="s">
        <v>205</v>
      </c>
      <c r="FT1" s="1" t="s">
        <v>137</v>
      </c>
      <c r="FU1" s="1" t="s">
        <v>138</v>
      </c>
      <c r="FV1" s="20" t="s">
        <v>139</v>
      </c>
      <c r="FW1" s="1" t="s">
        <v>140</v>
      </c>
      <c r="FX1" s="1" t="s">
        <v>141</v>
      </c>
      <c r="FY1" s="1" t="s">
        <v>168</v>
      </c>
      <c r="FZ1" s="20" t="s">
        <v>142</v>
      </c>
      <c r="GA1" s="1" t="s">
        <v>143</v>
      </c>
      <c r="GB1" s="20" t="s">
        <v>144</v>
      </c>
      <c r="GC1" s="20" t="s">
        <v>145</v>
      </c>
      <c r="GD1" s="1" t="s">
        <v>146</v>
      </c>
      <c r="GE1" s="1" t="s">
        <v>147</v>
      </c>
      <c r="GF1" s="1" t="s">
        <v>148</v>
      </c>
      <c r="GG1" s="7" t="s">
        <v>149</v>
      </c>
      <c r="GH1" s="8" t="s">
        <v>150</v>
      </c>
      <c r="GI1" s="8" t="s">
        <v>185</v>
      </c>
      <c r="GJ1" s="12"/>
      <c r="GK1" s="8" t="s">
        <v>227</v>
      </c>
      <c r="GL1" s="34" t="s">
        <v>197</v>
      </c>
      <c r="GM1" s="15" t="s">
        <v>249</v>
      </c>
      <c r="GN1" s="15" t="s">
        <v>250</v>
      </c>
      <c r="GO1" s="8" t="s">
        <v>258</v>
      </c>
      <c r="GP1" s="8" t="s">
        <v>291</v>
      </c>
      <c r="GQ1" s="8" t="s">
        <v>365</v>
      </c>
      <c r="GR1" s="5" t="s">
        <v>448</v>
      </c>
    </row>
    <row r="3" spans="1:200" s="5" customFormat="1">
      <c r="A3" s="17"/>
      <c r="B3" s="9">
        <v>45658</v>
      </c>
      <c r="C3" s="10"/>
      <c r="N3" s="4" t="s">
        <v>151</v>
      </c>
      <c r="O3" s="4" t="s">
        <v>152</v>
      </c>
      <c r="P3" s="4" t="s">
        <v>153</v>
      </c>
      <c r="Q3" s="4" t="s">
        <v>21</v>
      </c>
      <c r="R3" s="11"/>
      <c r="W3" s="12" t="s">
        <v>151</v>
      </c>
      <c r="X3" s="12" t="s">
        <v>152</v>
      </c>
      <c r="Y3" s="12" t="s">
        <v>153</v>
      </c>
      <c r="Z3" s="12" t="s">
        <v>154</v>
      </c>
      <c r="AA3" s="12" t="s">
        <v>21</v>
      </c>
      <c r="AB3" s="8"/>
      <c r="AC3" s="14" t="s">
        <v>155</v>
      </c>
      <c r="AD3" s="13">
        <v>8</v>
      </c>
      <c r="AE3" s="4">
        <v>9</v>
      </c>
      <c r="AF3" s="4">
        <v>10</v>
      </c>
      <c r="AG3" s="4">
        <v>11</v>
      </c>
      <c r="AH3" s="4">
        <v>12</v>
      </c>
      <c r="AI3" s="4">
        <v>13</v>
      </c>
      <c r="AJ3" s="4">
        <v>14</v>
      </c>
      <c r="AK3" s="4">
        <v>15</v>
      </c>
      <c r="AL3" s="4">
        <v>16</v>
      </c>
      <c r="AM3" s="4">
        <v>17</v>
      </c>
      <c r="AN3" s="4" t="s">
        <v>156</v>
      </c>
      <c r="AO3" s="4" t="s">
        <v>21</v>
      </c>
    </row>
    <row r="5" spans="1:200">
      <c r="A5" s="31">
        <v>1</v>
      </c>
      <c r="B5" s="30" t="s">
        <v>179</v>
      </c>
      <c r="C5" t="s">
        <v>346</v>
      </c>
      <c r="D5" t="s">
        <v>186</v>
      </c>
      <c r="E5">
        <v>3</v>
      </c>
      <c r="F5">
        <v>3</v>
      </c>
      <c r="G5">
        <v>0</v>
      </c>
      <c r="H5">
        <v>0</v>
      </c>
      <c r="I5">
        <v>0</v>
      </c>
      <c r="K5">
        <v>4</v>
      </c>
      <c r="L5">
        <f>89+SUM(K6:K49)</f>
        <v>148</v>
      </c>
      <c r="M5" t="s">
        <v>181</v>
      </c>
      <c r="N5">
        <v>69</v>
      </c>
      <c r="O5">
        <v>79</v>
      </c>
      <c r="P5">
        <v>0</v>
      </c>
      <c r="Q5">
        <v>148</v>
      </c>
      <c r="R5" t="s">
        <v>193</v>
      </c>
      <c r="S5" t="s">
        <v>182</v>
      </c>
      <c r="T5">
        <v>83</v>
      </c>
      <c r="U5">
        <v>4</v>
      </c>
      <c r="W5">
        <v>45</v>
      </c>
      <c r="X5">
        <v>38</v>
      </c>
      <c r="Y5">
        <v>1</v>
      </c>
      <c r="Z5">
        <v>1</v>
      </c>
      <c r="AA5">
        <v>83</v>
      </c>
      <c r="AF5">
        <v>8</v>
      </c>
      <c r="AG5">
        <v>45</v>
      </c>
      <c r="AH5">
        <v>29</v>
      </c>
      <c r="AI5">
        <v>1</v>
      </c>
      <c r="AO5">
        <v>83</v>
      </c>
      <c r="AQ5">
        <v>43</v>
      </c>
      <c r="AR5">
        <v>21</v>
      </c>
      <c r="AS5">
        <v>16</v>
      </c>
      <c r="AT5">
        <v>3</v>
      </c>
      <c r="AU5">
        <v>1</v>
      </c>
      <c r="AV5">
        <v>84</v>
      </c>
      <c r="AX5" t="s">
        <v>184</v>
      </c>
      <c r="AY5" t="s">
        <v>183</v>
      </c>
      <c r="BA5">
        <v>70</v>
      </c>
      <c r="BD5">
        <v>3</v>
      </c>
      <c r="BH5">
        <v>1</v>
      </c>
      <c r="BJ5">
        <v>1</v>
      </c>
      <c r="BL5">
        <v>1</v>
      </c>
      <c r="BP5">
        <v>1</v>
      </c>
      <c r="BQ5">
        <v>1</v>
      </c>
      <c r="BZ5">
        <v>1</v>
      </c>
      <c r="CI5">
        <v>1</v>
      </c>
      <c r="DB5">
        <v>1</v>
      </c>
      <c r="DT5">
        <v>1</v>
      </c>
      <c r="FM5">
        <v>1</v>
      </c>
      <c r="FP5">
        <v>2</v>
      </c>
      <c r="FZ5">
        <v>1</v>
      </c>
      <c r="GC5">
        <v>1</v>
      </c>
      <c r="GI5">
        <v>1</v>
      </c>
    </row>
    <row r="6" spans="1:200">
      <c r="A6" s="31" t="s">
        <v>198</v>
      </c>
      <c r="B6" t="s">
        <v>190</v>
      </c>
      <c r="C6" t="s">
        <v>191</v>
      </c>
      <c r="D6" t="s">
        <v>192</v>
      </c>
      <c r="E6">
        <v>3</v>
      </c>
      <c r="F6">
        <v>3</v>
      </c>
      <c r="G6">
        <v>0</v>
      </c>
      <c r="H6">
        <v>0</v>
      </c>
      <c r="I6">
        <v>0</v>
      </c>
      <c r="K6">
        <v>5</v>
      </c>
      <c r="L6">
        <v>93</v>
      </c>
      <c r="N6">
        <v>50</v>
      </c>
      <c r="O6">
        <v>43</v>
      </c>
      <c r="P6">
        <v>0</v>
      </c>
      <c r="Q6">
        <v>93</v>
      </c>
      <c r="R6" t="s">
        <v>193</v>
      </c>
      <c r="S6" t="s">
        <v>182</v>
      </c>
      <c r="T6">
        <v>93</v>
      </c>
      <c r="U6">
        <v>5</v>
      </c>
      <c r="W6">
        <v>44</v>
      </c>
      <c r="X6">
        <v>44</v>
      </c>
      <c r="Y6">
        <v>0</v>
      </c>
      <c r="Z6">
        <v>0</v>
      </c>
      <c r="AA6">
        <v>88</v>
      </c>
      <c r="AF6">
        <v>8</v>
      </c>
      <c r="AG6">
        <v>40</v>
      </c>
      <c r="AH6">
        <v>30</v>
      </c>
      <c r="AI6">
        <v>10</v>
      </c>
      <c r="AO6">
        <v>88</v>
      </c>
      <c r="AQ6">
        <v>24</v>
      </c>
      <c r="AR6">
        <v>50</v>
      </c>
      <c r="AS6">
        <v>11</v>
      </c>
      <c r="AT6">
        <v>2</v>
      </c>
      <c r="AU6">
        <v>1</v>
      </c>
      <c r="AV6">
        <v>88</v>
      </c>
      <c r="AX6" t="s">
        <v>194</v>
      </c>
      <c r="AY6" t="s">
        <v>195</v>
      </c>
      <c r="BA6">
        <v>64</v>
      </c>
      <c r="BD6">
        <v>1</v>
      </c>
      <c r="BH6">
        <v>2</v>
      </c>
      <c r="BN6">
        <v>1</v>
      </c>
      <c r="BS6">
        <v>2</v>
      </c>
      <c r="BW6">
        <v>1</v>
      </c>
      <c r="BX6">
        <v>2</v>
      </c>
      <c r="CF6">
        <v>1</v>
      </c>
      <c r="CK6">
        <v>1</v>
      </c>
      <c r="CW6">
        <v>2</v>
      </c>
      <c r="DM6">
        <v>1</v>
      </c>
      <c r="EW6">
        <v>1</v>
      </c>
      <c r="FP6">
        <v>3</v>
      </c>
      <c r="FR6">
        <v>5</v>
      </c>
      <c r="GB6">
        <v>1</v>
      </c>
    </row>
    <row r="7" spans="1:200">
      <c r="A7" s="31" t="s">
        <v>211</v>
      </c>
      <c r="B7" t="s">
        <v>199</v>
      </c>
      <c r="C7" t="s">
        <v>200</v>
      </c>
      <c r="D7" t="s">
        <v>201</v>
      </c>
      <c r="E7">
        <v>3</v>
      </c>
      <c r="F7">
        <v>3</v>
      </c>
      <c r="G7">
        <v>0</v>
      </c>
      <c r="H7">
        <v>0</v>
      </c>
      <c r="I7">
        <v>0</v>
      </c>
      <c r="K7">
        <v>3</v>
      </c>
      <c r="L7">
        <v>69</v>
      </c>
      <c r="N7">
        <v>69</v>
      </c>
      <c r="O7">
        <v>0</v>
      </c>
      <c r="P7">
        <v>0</v>
      </c>
      <c r="Q7">
        <v>69</v>
      </c>
      <c r="R7" t="s">
        <v>193</v>
      </c>
      <c r="S7" t="s">
        <v>182</v>
      </c>
      <c r="T7">
        <v>66</v>
      </c>
      <c r="U7">
        <v>3</v>
      </c>
      <c r="W7">
        <v>63</v>
      </c>
      <c r="X7">
        <v>0</v>
      </c>
      <c r="Y7">
        <v>0</v>
      </c>
      <c r="Z7">
        <v>0</v>
      </c>
      <c r="AA7">
        <v>63</v>
      </c>
      <c r="AC7">
        <v>1</v>
      </c>
      <c r="AF7">
        <v>21</v>
      </c>
      <c r="AG7">
        <v>43</v>
      </c>
      <c r="AH7">
        <v>1</v>
      </c>
      <c r="AO7">
        <v>66</v>
      </c>
      <c r="AQ7">
        <v>39</v>
      </c>
      <c r="AR7">
        <v>20</v>
      </c>
      <c r="AS7">
        <v>1</v>
      </c>
      <c r="AT7">
        <v>3</v>
      </c>
      <c r="AV7">
        <v>63</v>
      </c>
      <c r="AX7" t="s">
        <v>202</v>
      </c>
      <c r="AY7" t="s">
        <v>203</v>
      </c>
      <c r="BA7">
        <v>46</v>
      </c>
      <c r="BC7">
        <v>1</v>
      </c>
      <c r="BD7">
        <v>1</v>
      </c>
      <c r="BQ7">
        <v>1</v>
      </c>
      <c r="CT7">
        <v>1</v>
      </c>
      <c r="CW7">
        <v>4</v>
      </c>
      <c r="CY7">
        <v>1</v>
      </c>
      <c r="DM7">
        <v>1</v>
      </c>
      <c r="DR7">
        <v>1</v>
      </c>
      <c r="DT7">
        <v>1</v>
      </c>
      <c r="DU7">
        <v>1</v>
      </c>
      <c r="EH7">
        <v>1</v>
      </c>
      <c r="EJ7">
        <v>1</v>
      </c>
      <c r="FI7">
        <v>1</v>
      </c>
      <c r="FL7">
        <v>1</v>
      </c>
      <c r="FP7">
        <v>5</v>
      </c>
      <c r="FS7">
        <v>1</v>
      </c>
    </row>
    <row r="8" spans="1:200">
      <c r="A8" s="31">
        <v>4</v>
      </c>
      <c r="B8" s="28" t="s">
        <v>210</v>
      </c>
      <c r="C8" s="23" t="s">
        <v>200</v>
      </c>
      <c r="D8" s="23" t="s">
        <v>201</v>
      </c>
      <c r="E8">
        <v>3</v>
      </c>
      <c r="F8">
        <v>0</v>
      </c>
      <c r="G8">
        <v>0</v>
      </c>
      <c r="H8">
        <v>0</v>
      </c>
      <c r="I8">
        <v>0</v>
      </c>
      <c r="K8">
        <v>3</v>
      </c>
      <c r="L8">
        <v>67</v>
      </c>
      <c r="N8">
        <v>67</v>
      </c>
      <c r="O8">
        <v>0</v>
      </c>
      <c r="P8">
        <v>0</v>
      </c>
      <c r="Q8">
        <v>67</v>
      </c>
      <c r="R8" t="s">
        <v>193</v>
      </c>
      <c r="S8" t="s">
        <v>182</v>
      </c>
      <c r="T8">
        <v>58</v>
      </c>
      <c r="U8">
        <v>2</v>
      </c>
      <c r="W8">
        <v>58</v>
      </c>
      <c r="X8">
        <v>0</v>
      </c>
      <c r="Y8">
        <v>0</v>
      </c>
      <c r="Z8">
        <v>0</v>
      </c>
      <c r="AA8">
        <v>58</v>
      </c>
      <c r="AC8">
        <v>4</v>
      </c>
      <c r="AG8">
        <v>15</v>
      </c>
      <c r="AH8">
        <v>38</v>
      </c>
      <c r="AI8">
        <v>1</v>
      </c>
      <c r="AO8">
        <v>58</v>
      </c>
      <c r="AQ8">
        <v>33</v>
      </c>
      <c r="AR8">
        <v>17</v>
      </c>
      <c r="AS8">
        <v>3</v>
      </c>
      <c r="AT8">
        <v>2</v>
      </c>
      <c r="AU8">
        <v>1</v>
      </c>
      <c r="AV8">
        <v>56</v>
      </c>
      <c r="AX8" t="s">
        <v>212</v>
      </c>
      <c r="AY8" t="s">
        <v>213</v>
      </c>
      <c r="BA8">
        <v>49</v>
      </c>
      <c r="BH8">
        <v>1</v>
      </c>
      <c r="BL8">
        <v>1</v>
      </c>
      <c r="BM8">
        <v>1</v>
      </c>
      <c r="BO8">
        <v>2</v>
      </c>
      <c r="CF8">
        <v>1</v>
      </c>
      <c r="CY8">
        <v>2</v>
      </c>
      <c r="DE8">
        <v>1</v>
      </c>
      <c r="DH8">
        <v>1</v>
      </c>
      <c r="DM8">
        <v>1</v>
      </c>
      <c r="FM8">
        <v>2</v>
      </c>
      <c r="FP8">
        <v>4</v>
      </c>
      <c r="FS8">
        <v>1</v>
      </c>
    </row>
    <row r="9" spans="1:200">
      <c r="A9" s="31">
        <v>5</v>
      </c>
      <c r="B9" t="s">
        <v>216</v>
      </c>
      <c r="C9" t="s">
        <v>217</v>
      </c>
      <c r="D9" t="s">
        <v>218</v>
      </c>
      <c r="E9">
        <v>3</v>
      </c>
      <c r="F9">
        <v>0</v>
      </c>
      <c r="G9">
        <v>0</v>
      </c>
      <c r="H9">
        <v>0</v>
      </c>
      <c r="I9">
        <v>0</v>
      </c>
      <c r="K9">
        <v>0</v>
      </c>
      <c r="L9">
        <v>87</v>
      </c>
      <c r="N9">
        <v>87</v>
      </c>
      <c r="O9">
        <v>0</v>
      </c>
      <c r="P9">
        <v>0</v>
      </c>
      <c r="Q9">
        <v>87</v>
      </c>
      <c r="R9" t="s">
        <v>193</v>
      </c>
      <c r="S9" t="s">
        <v>182</v>
      </c>
      <c r="T9">
        <v>69</v>
      </c>
      <c r="U9" t="s">
        <v>219</v>
      </c>
      <c r="W9">
        <v>69</v>
      </c>
      <c r="X9">
        <v>0</v>
      </c>
      <c r="Y9">
        <v>0</v>
      </c>
      <c r="Z9">
        <v>0</v>
      </c>
      <c r="AA9">
        <v>69</v>
      </c>
      <c r="AI9">
        <v>13</v>
      </c>
      <c r="AJ9">
        <v>56</v>
      </c>
      <c r="AO9">
        <v>69</v>
      </c>
      <c r="AQ9">
        <v>18</v>
      </c>
      <c r="AR9">
        <v>44</v>
      </c>
      <c r="AS9">
        <v>7</v>
      </c>
      <c r="AT9">
        <v>0</v>
      </c>
      <c r="AU9">
        <v>0</v>
      </c>
      <c r="AV9">
        <v>69</v>
      </c>
      <c r="AX9" t="s">
        <v>220</v>
      </c>
      <c r="AY9" t="s">
        <v>221</v>
      </c>
      <c r="BA9">
        <v>72</v>
      </c>
      <c r="BD9">
        <v>1</v>
      </c>
      <c r="BL9">
        <v>5</v>
      </c>
      <c r="BT9">
        <v>2</v>
      </c>
      <c r="BV9">
        <v>1</v>
      </c>
      <c r="BW9">
        <v>1</v>
      </c>
      <c r="EJ9">
        <v>1</v>
      </c>
      <c r="FM9">
        <v>2</v>
      </c>
      <c r="FZ9">
        <v>1</v>
      </c>
      <c r="GB9">
        <v>1</v>
      </c>
    </row>
    <row r="10" spans="1:200">
      <c r="A10" s="31">
        <v>6</v>
      </c>
      <c r="B10" t="s">
        <v>224</v>
      </c>
      <c r="C10" t="s">
        <v>217</v>
      </c>
      <c r="D10" t="s">
        <v>218</v>
      </c>
      <c r="E10">
        <v>3</v>
      </c>
      <c r="F10">
        <v>3</v>
      </c>
      <c r="G10">
        <v>0</v>
      </c>
      <c r="H10">
        <v>0</v>
      </c>
      <c r="I10">
        <v>0</v>
      </c>
      <c r="K10">
        <v>1</v>
      </c>
      <c r="L10">
        <v>86</v>
      </c>
      <c r="N10">
        <v>86</v>
      </c>
      <c r="O10">
        <v>0</v>
      </c>
      <c r="P10">
        <v>0</v>
      </c>
      <c r="Q10">
        <v>86</v>
      </c>
      <c r="R10" t="s">
        <v>193</v>
      </c>
      <c r="S10" t="s">
        <v>182</v>
      </c>
      <c r="T10">
        <v>65</v>
      </c>
      <c r="U10">
        <v>1</v>
      </c>
      <c r="W10">
        <v>65</v>
      </c>
      <c r="X10">
        <v>0</v>
      </c>
      <c r="Y10">
        <v>0</v>
      </c>
      <c r="Z10">
        <v>0</v>
      </c>
      <c r="AA10">
        <v>65</v>
      </c>
      <c r="AC10">
        <v>1</v>
      </c>
      <c r="AH10">
        <v>11</v>
      </c>
      <c r="AI10">
        <v>48</v>
      </c>
      <c r="AJ10">
        <v>1</v>
      </c>
      <c r="AO10">
        <v>60</v>
      </c>
      <c r="AQ10">
        <v>11</v>
      </c>
      <c r="AR10">
        <v>37</v>
      </c>
      <c r="AS10">
        <v>12</v>
      </c>
      <c r="AT10">
        <v>0</v>
      </c>
      <c r="AU10">
        <v>1</v>
      </c>
      <c r="AV10">
        <v>61</v>
      </c>
      <c r="AX10" t="s">
        <v>225</v>
      </c>
      <c r="AY10" t="s">
        <v>226</v>
      </c>
      <c r="BA10">
        <v>67</v>
      </c>
      <c r="BH10">
        <v>1</v>
      </c>
      <c r="BL10">
        <v>4</v>
      </c>
      <c r="BV10">
        <v>1</v>
      </c>
      <c r="BW10">
        <v>1</v>
      </c>
      <c r="CB10">
        <v>1</v>
      </c>
      <c r="DR10">
        <v>1</v>
      </c>
      <c r="EZ10">
        <v>1</v>
      </c>
      <c r="FM10">
        <v>3</v>
      </c>
      <c r="FP10">
        <v>2</v>
      </c>
      <c r="FR10">
        <v>1</v>
      </c>
      <c r="FZ10">
        <v>1</v>
      </c>
      <c r="GB10">
        <v>1</v>
      </c>
      <c r="GK10">
        <v>1</v>
      </c>
    </row>
    <row r="11" spans="1:200">
      <c r="A11" s="31">
        <v>7</v>
      </c>
      <c r="B11" t="s">
        <v>231</v>
      </c>
      <c r="C11" t="s">
        <v>232</v>
      </c>
      <c r="D11" t="s">
        <v>233</v>
      </c>
      <c r="E11">
        <v>2</v>
      </c>
      <c r="F11">
        <v>0</v>
      </c>
      <c r="G11">
        <v>0</v>
      </c>
      <c r="H11">
        <v>0</v>
      </c>
      <c r="I11">
        <v>0</v>
      </c>
      <c r="K11">
        <v>4</v>
      </c>
      <c r="L11">
        <v>61</v>
      </c>
      <c r="N11">
        <v>31</v>
      </c>
      <c r="O11">
        <v>30</v>
      </c>
      <c r="P11">
        <v>0</v>
      </c>
      <c r="Q11">
        <v>61</v>
      </c>
      <c r="R11" t="s">
        <v>193</v>
      </c>
      <c r="S11" t="s">
        <v>182</v>
      </c>
      <c r="T11" s="32" t="s">
        <v>241</v>
      </c>
      <c r="U11">
        <v>4</v>
      </c>
      <c r="W11">
        <v>23</v>
      </c>
      <c r="X11">
        <v>38</v>
      </c>
      <c r="Y11">
        <v>0</v>
      </c>
      <c r="Z11">
        <v>0</v>
      </c>
      <c r="AA11">
        <v>61</v>
      </c>
      <c r="AH11">
        <v>11</v>
      </c>
      <c r="AI11">
        <v>49</v>
      </c>
      <c r="AJ11">
        <v>2</v>
      </c>
      <c r="AK11">
        <v>2</v>
      </c>
      <c r="AL11">
        <v>4</v>
      </c>
      <c r="AO11">
        <v>68</v>
      </c>
      <c r="AQ11">
        <v>17</v>
      </c>
      <c r="AR11">
        <v>31</v>
      </c>
      <c r="AS11">
        <v>19</v>
      </c>
      <c r="AT11">
        <v>0</v>
      </c>
      <c r="AU11">
        <v>1</v>
      </c>
      <c r="AV11">
        <v>68</v>
      </c>
      <c r="AX11" t="s">
        <v>242</v>
      </c>
      <c r="AY11" t="s">
        <v>235</v>
      </c>
      <c r="BA11">
        <v>52</v>
      </c>
      <c r="BH11">
        <v>1</v>
      </c>
      <c r="BS11">
        <v>1</v>
      </c>
      <c r="BT11">
        <v>1</v>
      </c>
      <c r="BW11">
        <v>1</v>
      </c>
      <c r="CF11">
        <v>1</v>
      </c>
      <c r="DC11">
        <v>1</v>
      </c>
      <c r="FL11">
        <v>1</v>
      </c>
      <c r="FM11">
        <v>2</v>
      </c>
    </row>
    <row r="12" spans="1:200">
      <c r="A12" s="31" t="s">
        <v>285</v>
      </c>
      <c r="B12" t="s">
        <v>240</v>
      </c>
      <c r="C12" t="s">
        <v>232</v>
      </c>
      <c r="D12" t="s">
        <v>233</v>
      </c>
      <c r="E12">
        <v>2</v>
      </c>
      <c r="F12">
        <v>2</v>
      </c>
      <c r="G12">
        <v>0</v>
      </c>
      <c r="H12">
        <v>0</v>
      </c>
      <c r="I12">
        <v>0</v>
      </c>
      <c r="K12">
        <v>0</v>
      </c>
      <c r="L12">
        <v>101</v>
      </c>
      <c r="N12">
        <v>55</v>
      </c>
      <c r="O12">
        <v>46</v>
      </c>
      <c r="P12">
        <v>0</v>
      </c>
      <c r="Q12">
        <v>101</v>
      </c>
      <c r="R12" t="s">
        <v>234</v>
      </c>
      <c r="S12" t="s">
        <v>182</v>
      </c>
      <c r="T12">
        <v>55</v>
      </c>
      <c r="U12">
        <v>0</v>
      </c>
      <c r="W12">
        <v>31</v>
      </c>
      <c r="X12">
        <v>24</v>
      </c>
      <c r="Y12">
        <v>0</v>
      </c>
      <c r="Z12">
        <v>0</v>
      </c>
      <c r="AA12">
        <v>55</v>
      </c>
      <c r="AC12">
        <v>1</v>
      </c>
      <c r="AH12">
        <v>20</v>
      </c>
      <c r="AI12">
        <v>32</v>
      </c>
      <c r="AJ12">
        <v>2</v>
      </c>
      <c r="AO12">
        <v>55</v>
      </c>
      <c r="AQ12">
        <v>8</v>
      </c>
      <c r="AR12">
        <v>24</v>
      </c>
      <c r="AS12">
        <v>23</v>
      </c>
      <c r="AT12">
        <v>0</v>
      </c>
      <c r="AU12">
        <v>0</v>
      </c>
      <c r="AV12">
        <v>55</v>
      </c>
      <c r="AX12" t="s">
        <v>245</v>
      </c>
      <c r="AY12" t="s">
        <v>246</v>
      </c>
      <c r="BA12">
        <v>70</v>
      </c>
      <c r="BD12">
        <v>1</v>
      </c>
      <c r="BF12">
        <v>1</v>
      </c>
      <c r="BH12">
        <v>1</v>
      </c>
      <c r="BI12">
        <v>1</v>
      </c>
      <c r="BL12">
        <v>1</v>
      </c>
      <c r="BQ12">
        <v>1</v>
      </c>
      <c r="BS12">
        <v>4</v>
      </c>
      <c r="BT12">
        <v>4</v>
      </c>
      <c r="BU12">
        <v>1</v>
      </c>
      <c r="CF12">
        <v>5</v>
      </c>
      <c r="CG12">
        <v>1</v>
      </c>
      <c r="CX12">
        <v>1</v>
      </c>
      <c r="DB12">
        <v>1</v>
      </c>
      <c r="DE12">
        <v>1</v>
      </c>
      <c r="EW12">
        <v>2</v>
      </c>
      <c r="FL12">
        <v>1</v>
      </c>
      <c r="FM12">
        <v>1</v>
      </c>
      <c r="FP12">
        <v>2</v>
      </c>
      <c r="FV12">
        <v>1</v>
      </c>
    </row>
    <row r="13" spans="1:200">
      <c r="A13" s="31">
        <v>9</v>
      </c>
      <c r="B13" t="s">
        <v>251</v>
      </c>
      <c r="C13" t="s">
        <v>252</v>
      </c>
      <c r="D13" t="s">
        <v>253</v>
      </c>
      <c r="E13">
        <v>2</v>
      </c>
      <c r="F13">
        <v>2</v>
      </c>
      <c r="G13">
        <v>0</v>
      </c>
      <c r="H13">
        <v>0</v>
      </c>
      <c r="I13">
        <v>0</v>
      </c>
      <c r="K13">
        <v>1</v>
      </c>
      <c r="L13">
        <v>52</v>
      </c>
      <c r="N13">
        <v>28</v>
      </c>
      <c r="O13">
        <v>24</v>
      </c>
      <c r="P13">
        <v>0</v>
      </c>
      <c r="Q13">
        <v>52</v>
      </c>
      <c r="R13" t="s">
        <v>193</v>
      </c>
      <c r="S13" t="s">
        <v>182</v>
      </c>
      <c r="T13">
        <v>47</v>
      </c>
      <c r="U13">
        <v>1</v>
      </c>
      <c r="W13">
        <v>22</v>
      </c>
      <c r="X13">
        <v>23</v>
      </c>
      <c r="Z13">
        <v>1</v>
      </c>
      <c r="AA13">
        <v>46</v>
      </c>
      <c r="AF13">
        <v>11</v>
      </c>
      <c r="AG13">
        <v>33</v>
      </c>
      <c r="AH13">
        <v>2</v>
      </c>
      <c r="AO13">
        <v>46</v>
      </c>
      <c r="AQ13">
        <v>34</v>
      </c>
      <c r="AR13">
        <v>9</v>
      </c>
      <c r="AS13">
        <v>3</v>
      </c>
      <c r="AT13">
        <v>0</v>
      </c>
      <c r="AU13">
        <v>0</v>
      </c>
      <c r="AV13">
        <v>46</v>
      </c>
      <c r="AX13" t="s">
        <v>254</v>
      </c>
      <c r="AY13" t="s">
        <v>255</v>
      </c>
      <c r="BA13">
        <v>45</v>
      </c>
      <c r="BC13">
        <v>1</v>
      </c>
      <c r="BW13">
        <v>1</v>
      </c>
      <c r="CL13">
        <v>1</v>
      </c>
      <c r="CW13">
        <v>1</v>
      </c>
      <c r="DO13">
        <v>2</v>
      </c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>
        <v>1</v>
      </c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</row>
    <row r="14" spans="1:200">
      <c r="A14" s="31">
        <v>10</v>
      </c>
      <c r="B14" t="s">
        <v>259</v>
      </c>
      <c r="C14" t="s">
        <v>252</v>
      </c>
      <c r="D14" t="s">
        <v>253</v>
      </c>
      <c r="E14">
        <v>2</v>
      </c>
      <c r="F14">
        <v>2</v>
      </c>
      <c r="G14">
        <v>0</v>
      </c>
      <c r="H14">
        <v>0</v>
      </c>
      <c r="I14">
        <v>0</v>
      </c>
      <c r="K14">
        <v>2</v>
      </c>
      <c r="L14">
        <v>54</v>
      </c>
      <c r="N14">
        <v>34</v>
      </c>
      <c r="O14">
        <v>20</v>
      </c>
      <c r="P14">
        <v>0</v>
      </c>
      <c r="Q14">
        <v>54</v>
      </c>
      <c r="R14" t="s">
        <v>193</v>
      </c>
      <c r="S14" t="s">
        <v>182</v>
      </c>
      <c r="T14">
        <v>47</v>
      </c>
      <c r="U14">
        <v>2</v>
      </c>
      <c r="W14">
        <v>27</v>
      </c>
      <c r="X14">
        <v>19</v>
      </c>
      <c r="Y14">
        <v>1</v>
      </c>
      <c r="Z14">
        <v>0</v>
      </c>
      <c r="AA14">
        <v>46</v>
      </c>
      <c r="AC14">
        <v>1</v>
      </c>
      <c r="AG14">
        <v>13</v>
      </c>
      <c r="AH14">
        <v>30</v>
      </c>
      <c r="AI14">
        <v>3</v>
      </c>
      <c r="AO14">
        <v>47</v>
      </c>
      <c r="AQ14">
        <v>26</v>
      </c>
      <c r="AR14">
        <v>17</v>
      </c>
      <c r="AS14">
        <v>4</v>
      </c>
      <c r="AT14">
        <v>0</v>
      </c>
      <c r="AU14">
        <v>0</v>
      </c>
      <c r="AV14">
        <v>47</v>
      </c>
      <c r="AX14" t="s">
        <v>261</v>
      </c>
      <c r="AY14" t="s">
        <v>262</v>
      </c>
      <c r="BA14">
        <v>43</v>
      </c>
      <c r="BD14">
        <v>1</v>
      </c>
      <c r="BJ14">
        <v>1</v>
      </c>
      <c r="BQ14">
        <v>1</v>
      </c>
      <c r="BU14">
        <v>1</v>
      </c>
      <c r="CF14">
        <v>1</v>
      </c>
      <c r="CL14">
        <v>1</v>
      </c>
      <c r="DM14">
        <v>1</v>
      </c>
      <c r="FH14">
        <v>1</v>
      </c>
      <c r="FP14" s="23">
        <v>2</v>
      </c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>
        <v>1</v>
      </c>
      <c r="GC14" s="23"/>
      <c r="GD14" s="23"/>
      <c r="GE14" s="23"/>
      <c r="GF14" s="23"/>
      <c r="GG14" s="23"/>
      <c r="GH14" s="23"/>
    </row>
    <row r="15" spans="1:200">
      <c r="A15" s="24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</row>
    <row r="16" spans="1:200">
      <c r="A16" s="24"/>
      <c r="B16" s="22">
        <v>45689</v>
      </c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</row>
    <row r="17" spans="1:198">
      <c r="A17" s="24"/>
      <c r="FN17" s="23"/>
      <c r="FY17" s="23"/>
    </row>
    <row r="18" spans="1:198">
      <c r="A18" s="31">
        <v>11</v>
      </c>
      <c r="B18" t="s">
        <v>266</v>
      </c>
      <c r="C18" t="s">
        <v>267</v>
      </c>
      <c r="D18" t="s">
        <v>268</v>
      </c>
      <c r="E18">
        <v>1</v>
      </c>
      <c r="F18">
        <v>0</v>
      </c>
      <c r="G18">
        <v>1</v>
      </c>
      <c r="H18">
        <v>0</v>
      </c>
      <c r="I18">
        <v>0</v>
      </c>
      <c r="K18">
        <v>2</v>
      </c>
      <c r="L18">
        <v>39</v>
      </c>
      <c r="N18">
        <v>25</v>
      </c>
      <c r="O18">
        <v>14</v>
      </c>
      <c r="P18">
        <v>0</v>
      </c>
      <c r="Q18">
        <v>39</v>
      </c>
      <c r="R18" t="s">
        <v>193</v>
      </c>
      <c r="S18" t="s">
        <v>182</v>
      </c>
      <c r="T18">
        <v>32</v>
      </c>
      <c r="U18">
        <v>2</v>
      </c>
      <c r="W18">
        <v>30</v>
      </c>
      <c r="X18">
        <v>12</v>
      </c>
      <c r="Y18">
        <v>0</v>
      </c>
      <c r="Z18">
        <v>0</v>
      </c>
      <c r="AA18">
        <v>32</v>
      </c>
      <c r="AG18">
        <v>4</v>
      </c>
      <c r="AH18">
        <v>26</v>
      </c>
      <c r="AI18">
        <v>2</v>
      </c>
      <c r="AO18">
        <v>32</v>
      </c>
      <c r="AQ18">
        <v>25</v>
      </c>
      <c r="AR18">
        <v>5</v>
      </c>
      <c r="AS18">
        <v>2</v>
      </c>
      <c r="AV18">
        <v>32</v>
      </c>
      <c r="AX18" t="s">
        <v>269</v>
      </c>
      <c r="AY18" t="s">
        <v>270</v>
      </c>
      <c r="BA18">
        <v>23</v>
      </c>
      <c r="BD18">
        <v>1</v>
      </c>
      <c r="BH18">
        <v>1</v>
      </c>
      <c r="BI18">
        <v>1</v>
      </c>
      <c r="BO18">
        <v>1</v>
      </c>
      <c r="BP18">
        <v>1</v>
      </c>
      <c r="BS18">
        <v>1</v>
      </c>
      <c r="BT18">
        <v>2</v>
      </c>
      <c r="CG18">
        <v>1</v>
      </c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</row>
    <row r="19" spans="1:198">
      <c r="A19" s="31" t="s">
        <v>284</v>
      </c>
      <c r="B19" t="s">
        <v>274</v>
      </c>
      <c r="C19" t="s">
        <v>275</v>
      </c>
      <c r="D19" t="s">
        <v>276</v>
      </c>
      <c r="E19">
        <v>2</v>
      </c>
      <c r="F19">
        <v>2</v>
      </c>
      <c r="G19">
        <v>0</v>
      </c>
      <c r="H19">
        <v>0</v>
      </c>
      <c r="I19">
        <v>0</v>
      </c>
      <c r="K19">
        <v>4</v>
      </c>
      <c r="L19">
        <v>55</v>
      </c>
      <c r="N19">
        <v>22</v>
      </c>
      <c r="O19">
        <v>33</v>
      </c>
      <c r="P19">
        <v>0</v>
      </c>
      <c r="Q19">
        <v>55</v>
      </c>
      <c r="R19" t="s">
        <v>277</v>
      </c>
      <c r="S19" t="s">
        <v>182</v>
      </c>
      <c r="T19">
        <v>46</v>
      </c>
      <c r="U19">
        <v>4</v>
      </c>
      <c r="W19">
        <v>18</v>
      </c>
      <c r="X19">
        <v>28</v>
      </c>
      <c r="Y19">
        <v>0</v>
      </c>
      <c r="Z19">
        <v>0</v>
      </c>
      <c r="AA19">
        <v>46</v>
      </c>
      <c r="AF19">
        <v>6</v>
      </c>
      <c r="AG19">
        <v>24</v>
      </c>
      <c r="AH19">
        <v>15</v>
      </c>
      <c r="AI19">
        <v>1</v>
      </c>
      <c r="AO19">
        <v>46</v>
      </c>
      <c r="AQ19">
        <v>33</v>
      </c>
      <c r="AR19">
        <v>9</v>
      </c>
      <c r="AS19">
        <v>4</v>
      </c>
      <c r="AT19">
        <v>0</v>
      </c>
      <c r="AU19">
        <v>0</v>
      </c>
      <c r="AV19">
        <v>46</v>
      </c>
      <c r="AX19" t="s">
        <v>278</v>
      </c>
      <c r="AY19" t="s">
        <v>279</v>
      </c>
      <c r="BA19">
        <v>44</v>
      </c>
      <c r="BL19">
        <v>1</v>
      </c>
      <c r="BO19">
        <v>1</v>
      </c>
      <c r="BS19">
        <v>2</v>
      </c>
      <c r="BT19">
        <v>1</v>
      </c>
      <c r="BW19">
        <v>1</v>
      </c>
      <c r="CW19">
        <v>1</v>
      </c>
      <c r="DB19">
        <v>2</v>
      </c>
      <c r="FN19" s="23"/>
      <c r="FP19" s="23">
        <v>2</v>
      </c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</row>
    <row r="20" spans="1:198">
      <c r="A20" s="31" t="s">
        <v>296</v>
      </c>
      <c r="B20" t="s">
        <v>286</v>
      </c>
      <c r="C20" t="s">
        <v>287</v>
      </c>
      <c r="D20" t="s">
        <v>288</v>
      </c>
      <c r="E20">
        <v>3</v>
      </c>
      <c r="F20">
        <v>3</v>
      </c>
      <c r="G20">
        <v>0</v>
      </c>
      <c r="H20">
        <v>0</v>
      </c>
      <c r="I20">
        <v>0</v>
      </c>
      <c r="K20">
        <v>2</v>
      </c>
      <c r="L20">
        <v>97</v>
      </c>
      <c r="N20">
        <v>49</v>
      </c>
      <c r="O20">
        <v>48</v>
      </c>
      <c r="P20">
        <v>0</v>
      </c>
      <c r="Q20">
        <v>97</v>
      </c>
      <c r="R20" t="s">
        <v>193</v>
      </c>
      <c r="S20" t="s">
        <v>182</v>
      </c>
      <c r="T20">
        <v>52</v>
      </c>
      <c r="U20">
        <v>2</v>
      </c>
      <c r="W20">
        <v>27</v>
      </c>
      <c r="X20">
        <v>28</v>
      </c>
      <c r="Y20">
        <v>0</v>
      </c>
      <c r="Z20">
        <v>0</v>
      </c>
      <c r="AA20">
        <v>52</v>
      </c>
      <c r="AC20">
        <v>3</v>
      </c>
      <c r="AF20">
        <v>5</v>
      </c>
      <c r="AG20">
        <v>21</v>
      </c>
      <c r="AH20">
        <v>19</v>
      </c>
      <c r="AI20">
        <v>4</v>
      </c>
      <c r="AO20">
        <v>52</v>
      </c>
      <c r="AQ20">
        <v>17</v>
      </c>
      <c r="AR20">
        <v>25</v>
      </c>
      <c r="AS20">
        <v>8</v>
      </c>
      <c r="AT20">
        <v>2</v>
      </c>
      <c r="AV20">
        <v>52</v>
      </c>
      <c r="AX20" t="s">
        <v>289</v>
      </c>
      <c r="AY20" t="s">
        <v>290</v>
      </c>
      <c r="BA20">
        <v>79</v>
      </c>
      <c r="BD20">
        <v>1</v>
      </c>
      <c r="BL20">
        <v>2</v>
      </c>
      <c r="BS20">
        <v>1</v>
      </c>
      <c r="BY20">
        <v>1</v>
      </c>
      <c r="CH20">
        <v>1</v>
      </c>
      <c r="CL20">
        <v>1</v>
      </c>
      <c r="DB20">
        <v>2</v>
      </c>
      <c r="DC20">
        <v>2</v>
      </c>
      <c r="DR20">
        <v>1</v>
      </c>
      <c r="EU20">
        <v>1</v>
      </c>
      <c r="EW20">
        <v>1</v>
      </c>
      <c r="FA20">
        <v>1</v>
      </c>
      <c r="FC20">
        <v>1</v>
      </c>
      <c r="FP20" s="23">
        <v>1</v>
      </c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P20">
        <v>1</v>
      </c>
    </row>
    <row r="21" spans="1:198">
      <c r="A21" s="31" t="s">
        <v>302</v>
      </c>
      <c r="B21" t="s">
        <v>297</v>
      </c>
      <c r="C21" t="s">
        <v>298</v>
      </c>
      <c r="D21" s="36" t="s">
        <v>299</v>
      </c>
      <c r="E21">
        <v>2</v>
      </c>
      <c r="F21">
        <v>2</v>
      </c>
      <c r="G21">
        <v>0</v>
      </c>
      <c r="H21">
        <v>0</v>
      </c>
      <c r="I21">
        <v>0</v>
      </c>
      <c r="K21">
        <v>3</v>
      </c>
      <c r="L21">
        <v>51</v>
      </c>
      <c r="N21">
        <v>26</v>
      </c>
      <c r="O21">
        <v>25</v>
      </c>
      <c r="P21">
        <v>0</v>
      </c>
      <c r="Q21">
        <v>51</v>
      </c>
      <c r="R21" t="s">
        <v>193</v>
      </c>
      <c r="S21" t="s">
        <v>182</v>
      </c>
      <c r="T21">
        <v>47</v>
      </c>
      <c r="U21">
        <v>3</v>
      </c>
      <c r="W21">
        <v>26</v>
      </c>
      <c r="X21">
        <v>25</v>
      </c>
      <c r="Y21">
        <v>0</v>
      </c>
      <c r="Z21">
        <v>0</v>
      </c>
      <c r="AA21">
        <v>47</v>
      </c>
      <c r="AF21">
        <v>3</v>
      </c>
      <c r="AG21">
        <v>21</v>
      </c>
      <c r="AH21">
        <v>23</v>
      </c>
      <c r="AO21">
        <v>47</v>
      </c>
      <c r="AQ21">
        <v>25</v>
      </c>
      <c r="AR21">
        <v>17</v>
      </c>
      <c r="AS21">
        <v>4</v>
      </c>
      <c r="AT21">
        <v>1</v>
      </c>
      <c r="AU21">
        <v>0</v>
      </c>
      <c r="AV21">
        <v>47</v>
      </c>
      <c r="AX21" t="s">
        <v>300</v>
      </c>
      <c r="AY21" t="s">
        <v>301</v>
      </c>
      <c r="BA21">
        <v>46</v>
      </c>
      <c r="BI21">
        <v>1</v>
      </c>
      <c r="BO21">
        <v>1</v>
      </c>
      <c r="DU21">
        <v>1</v>
      </c>
      <c r="ER21">
        <v>1</v>
      </c>
      <c r="FA21">
        <v>1</v>
      </c>
      <c r="FN21" s="23"/>
      <c r="FY21" s="23"/>
    </row>
    <row r="22" spans="1:198">
      <c r="A22" s="31" t="s">
        <v>305</v>
      </c>
      <c r="B22" t="s">
        <v>306</v>
      </c>
      <c r="C22" t="s">
        <v>307</v>
      </c>
      <c r="D22" t="s">
        <v>308</v>
      </c>
      <c r="E22">
        <v>2</v>
      </c>
      <c r="F22">
        <v>2</v>
      </c>
      <c r="G22">
        <v>0</v>
      </c>
      <c r="H22">
        <v>0</v>
      </c>
      <c r="I22">
        <v>0</v>
      </c>
      <c r="K22">
        <v>2</v>
      </c>
      <c r="L22">
        <v>38</v>
      </c>
      <c r="N22">
        <v>38</v>
      </c>
      <c r="O22">
        <v>0</v>
      </c>
      <c r="P22">
        <v>0</v>
      </c>
      <c r="Q22">
        <v>38</v>
      </c>
      <c r="R22" t="s">
        <v>277</v>
      </c>
      <c r="S22" t="s">
        <v>182</v>
      </c>
      <c r="T22">
        <v>34</v>
      </c>
      <c r="U22">
        <v>1</v>
      </c>
      <c r="W22">
        <v>34</v>
      </c>
      <c r="X22">
        <v>0</v>
      </c>
      <c r="Y22">
        <v>0</v>
      </c>
      <c r="Z22">
        <v>0</v>
      </c>
      <c r="AA22">
        <v>34</v>
      </c>
      <c r="AC22">
        <v>0</v>
      </c>
      <c r="AF22">
        <v>2</v>
      </c>
      <c r="AG22">
        <v>18</v>
      </c>
      <c r="AH22">
        <v>13</v>
      </c>
      <c r="AI22">
        <v>1</v>
      </c>
      <c r="AO22">
        <v>34</v>
      </c>
      <c r="AQ22">
        <v>20</v>
      </c>
      <c r="AR22">
        <v>9</v>
      </c>
      <c r="AS22">
        <v>5</v>
      </c>
      <c r="AT22">
        <v>0</v>
      </c>
      <c r="AU22">
        <v>0</v>
      </c>
      <c r="AV22">
        <v>34</v>
      </c>
      <c r="AX22" t="s">
        <v>309</v>
      </c>
      <c r="AY22" t="s">
        <v>90</v>
      </c>
      <c r="BA22">
        <v>32</v>
      </c>
      <c r="BS22">
        <v>1</v>
      </c>
      <c r="DT22">
        <v>1</v>
      </c>
      <c r="FY22" s="23"/>
      <c r="GE22" s="23"/>
      <c r="GF22" s="23"/>
      <c r="GG22" s="23"/>
      <c r="GH22" s="23"/>
    </row>
    <row r="23" spans="1:198">
      <c r="A23" s="31">
        <v>16</v>
      </c>
      <c r="B23" t="s">
        <v>312</v>
      </c>
      <c r="C23" t="s">
        <v>313</v>
      </c>
      <c r="D23" t="s">
        <v>314</v>
      </c>
      <c r="E23">
        <v>1</v>
      </c>
      <c r="F23">
        <v>1</v>
      </c>
      <c r="G23">
        <v>0</v>
      </c>
      <c r="H23">
        <v>0</v>
      </c>
      <c r="I23">
        <v>0</v>
      </c>
      <c r="K23">
        <v>2</v>
      </c>
      <c r="L23">
        <v>27</v>
      </c>
      <c r="N23">
        <v>27</v>
      </c>
      <c r="O23">
        <v>0</v>
      </c>
      <c r="P23">
        <v>0</v>
      </c>
      <c r="Q23">
        <v>27</v>
      </c>
      <c r="R23" t="s">
        <v>193</v>
      </c>
      <c r="S23" t="s">
        <v>182</v>
      </c>
      <c r="T23">
        <v>18</v>
      </c>
      <c r="U23" s="32" t="s">
        <v>315</v>
      </c>
      <c r="W23">
        <v>18</v>
      </c>
      <c r="X23">
        <v>0</v>
      </c>
      <c r="Y23">
        <v>0</v>
      </c>
      <c r="Z23">
        <v>0</v>
      </c>
      <c r="AA23">
        <v>18</v>
      </c>
      <c r="AC23">
        <v>1</v>
      </c>
      <c r="AG23">
        <v>4</v>
      </c>
      <c r="AH23">
        <v>11</v>
      </c>
      <c r="AI23">
        <v>2</v>
      </c>
      <c r="AO23">
        <v>18</v>
      </c>
      <c r="AQ23">
        <v>11</v>
      </c>
      <c r="AR23">
        <v>5</v>
      </c>
      <c r="AS23">
        <v>1</v>
      </c>
      <c r="AU23">
        <v>1</v>
      </c>
      <c r="AV23">
        <v>18</v>
      </c>
      <c r="AX23" t="s">
        <v>316</v>
      </c>
      <c r="BA23">
        <v>19</v>
      </c>
      <c r="BL23">
        <v>1</v>
      </c>
      <c r="BO23">
        <v>2</v>
      </c>
      <c r="BS23">
        <v>4</v>
      </c>
      <c r="BW23">
        <v>1</v>
      </c>
      <c r="FN23" s="23"/>
      <c r="FY23" s="23"/>
    </row>
    <row r="24" spans="1:198">
      <c r="A24" s="24">
        <v>17</v>
      </c>
      <c r="B24" t="s">
        <v>320</v>
      </c>
      <c r="C24" t="s">
        <v>313</v>
      </c>
      <c r="D24" t="s">
        <v>314</v>
      </c>
      <c r="FY24" s="23"/>
      <c r="GE24" s="23"/>
      <c r="GF24" s="23"/>
      <c r="GG24" s="23"/>
      <c r="GH24" s="23"/>
    </row>
    <row r="25" spans="1:198">
      <c r="A25" s="37">
        <v>18</v>
      </c>
      <c r="B25" t="s">
        <v>321</v>
      </c>
      <c r="C25" t="s">
        <v>322</v>
      </c>
      <c r="FN25" s="23"/>
      <c r="FY25" s="23"/>
    </row>
    <row r="26" spans="1:198">
      <c r="A26" s="24">
        <v>19</v>
      </c>
      <c r="B26" t="s">
        <v>323</v>
      </c>
      <c r="C26" t="s">
        <v>324</v>
      </c>
    </row>
    <row r="27" spans="1:198">
      <c r="A27" s="24">
        <v>20</v>
      </c>
      <c r="B27" s="28" t="s">
        <v>325</v>
      </c>
      <c r="C27" t="s">
        <v>324</v>
      </c>
    </row>
    <row r="28" spans="1:198">
      <c r="A28" s="42">
        <v>21</v>
      </c>
      <c r="B28" s="38" t="s">
        <v>326</v>
      </c>
      <c r="C28" t="s">
        <v>327</v>
      </c>
      <c r="D28" t="s">
        <v>342</v>
      </c>
      <c r="E28">
        <v>1</v>
      </c>
      <c r="F28">
        <v>1</v>
      </c>
      <c r="G28">
        <v>0</v>
      </c>
      <c r="H28">
        <v>0</v>
      </c>
      <c r="I28">
        <v>0</v>
      </c>
      <c r="K28">
        <v>1</v>
      </c>
      <c r="L28">
        <v>15</v>
      </c>
      <c r="N28">
        <v>12</v>
      </c>
      <c r="O28">
        <v>3</v>
      </c>
      <c r="P28">
        <v>0</v>
      </c>
      <c r="Q28">
        <v>15</v>
      </c>
      <c r="R28" t="s">
        <v>277</v>
      </c>
      <c r="S28" t="s">
        <v>182</v>
      </c>
      <c r="T28">
        <v>12</v>
      </c>
      <c r="U28">
        <v>1</v>
      </c>
      <c r="W28">
        <v>10</v>
      </c>
      <c r="X28">
        <v>2</v>
      </c>
      <c r="Y28">
        <v>0</v>
      </c>
      <c r="Z28">
        <v>0</v>
      </c>
      <c r="AA28">
        <v>12</v>
      </c>
      <c r="AF28">
        <v>2</v>
      </c>
      <c r="AG28">
        <v>5</v>
      </c>
      <c r="AH28">
        <v>5</v>
      </c>
      <c r="AO28">
        <v>12</v>
      </c>
      <c r="AQ28">
        <v>7</v>
      </c>
      <c r="AR28">
        <v>5</v>
      </c>
      <c r="AX28" t="s">
        <v>344</v>
      </c>
      <c r="AY28" t="s">
        <v>343</v>
      </c>
      <c r="BA28">
        <v>9</v>
      </c>
      <c r="BS28">
        <v>1</v>
      </c>
      <c r="EZ28">
        <v>1</v>
      </c>
      <c r="FY28" s="23"/>
      <c r="GB28">
        <v>1</v>
      </c>
    </row>
    <row r="29" spans="1:198">
      <c r="A29" s="31">
        <v>22</v>
      </c>
      <c r="B29" t="s">
        <v>328</v>
      </c>
      <c r="C29" t="s">
        <v>329</v>
      </c>
      <c r="D29" t="s">
        <v>330</v>
      </c>
      <c r="E29">
        <v>1</v>
      </c>
      <c r="F29">
        <v>1</v>
      </c>
      <c r="G29">
        <v>0</v>
      </c>
      <c r="H29">
        <v>0</v>
      </c>
      <c r="I29">
        <v>0</v>
      </c>
      <c r="K29">
        <v>2</v>
      </c>
      <c r="L29">
        <v>53</v>
      </c>
      <c r="N29">
        <v>32</v>
      </c>
      <c r="O29">
        <v>21</v>
      </c>
      <c r="P29">
        <v>0</v>
      </c>
      <c r="Q29">
        <v>53</v>
      </c>
      <c r="R29" t="s">
        <v>352</v>
      </c>
      <c r="S29" t="s">
        <v>182</v>
      </c>
      <c r="T29">
        <v>37</v>
      </c>
      <c r="U29">
        <v>2</v>
      </c>
      <c r="W29">
        <v>21</v>
      </c>
      <c r="X29">
        <v>16</v>
      </c>
      <c r="Y29">
        <v>0</v>
      </c>
      <c r="Z29">
        <v>0</v>
      </c>
      <c r="AA29">
        <v>37</v>
      </c>
      <c r="AC29">
        <v>2</v>
      </c>
      <c r="AK29">
        <v>4</v>
      </c>
      <c r="AL29">
        <v>27</v>
      </c>
      <c r="AM29">
        <v>4</v>
      </c>
      <c r="AO29">
        <v>37</v>
      </c>
      <c r="AQ29">
        <v>19</v>
      </c>
      <c r="AR29">
        <v>12</v>
      </c>
      <c r="AS29">
        <v>5</v>
      </c>
      <c r="AT29">
        <v>0</v>
      </c>
      <c r="AU29">
        <v>1</v>
      </c>
      <c r="AV29">
        <v>37</v>
      </c>
      <c r="AX29" t="s">
        <v>347</v>
      </c>
      <c r="AY29" t="s">
        <v>348</v>
      </c>
      <c r="BA29">
        <v>33</v>
      </c>
      <c r="BD29">
        <v>2</v>
      </c>
      <c r="BH29">
        <v>1</v>
      </c>
      <c r="BK29">
        <v>1</v>
      </c>
      <c r="BO29">
        <v>1</v>
      </c>
      <c r="BQ29">
        <v>3</v>
      </c>
      <c r="BS29">
        <v>3</v>
      </c>
      <c r="BW29">
        <v>1</v>
      </c>
      <c r="CM29">
        <v>1</v>
      </c>
      <c r="CW29">
        <v>1</v>
      </c>
      <c r="DE29">
        <v>1</v>
      </c>
      <c r="EW29">
        <v>2</v>
      </c>
      <c r="FR29">
        <v>1</v>
      </c>
      <c r="FS29">
        <v>1</v>
      </c>
      <c r="FX29">
        <v>1</v>
      </c>
      <c r="FY29" s="23"/>
    </row>
    <row r="31" spans="1:198">
      <c r="B31" s="22">
        <v>45717</v>
      </c>
    </row>
    <row r="32" spans="1:198" s="25" customFormat="1"/>
    <row r="33" spans="1:200">
      <c r="A33" s="42">
        <v>23</v>
      </c>
      <c r="B33" t="s">
        <v>331</v>
      </c>
      <c r="C33" t="s">
        <v>332</v>
      </c>
      <c r="D33" t="s">
        <v>441</v>
      </c>
      <c r="E33">
        <v>3</v>
      </c>
      <c r="F33">
        <v>3</v>
      </c>
      <c r="G33">
        <v>0</v>
      </c>
      <c r="H33">
        <v>0</v>
      </c>
      <c r="I33">
        <v>0</v>
      </c>
      <c r="K33">
        <v>3</v>
      </c>
      <c r="L33">
        <v>64</v>
      </c>
      <c r="N33">
        <v>41</v>
      </c>
      <c r="O33">
        <v>23</v>
      </c>
      <c r="P33">
        <v>0</v>
      </c>
      <c r="Q33">
        <v>64</v>
      </c>
      <c r="R33" t="s">
        <v>416</v>
      </c>
      <c r="S33" t="s">
        <v>182</v>
      </c>
      <c r="T33">
        <v>42</v>
      </c>
      <c r="U33">
        <v>0</v>
      </c>
      <c r="W33">
        <v>29</v>
      </c>
      <c r="X33">
        <v>13</v>
      </c>
      <c r="Y33">
        <v>0</v>
      </c>
      <c r="Z33">
        <v>0</v>
      </c>
      <c r="AA33">
        <v>42</v>
      </c>
      <c r="AI33">
        <v>2</v>
      </c>
      <c r="AJ33">
        <v>40</v>
      </c>
      <c r="AO33">
        <v>42</v>
      </c>
      <c r="AQ33">
        <v>25</v>
      </c>
      <c r="AR33">
        <v>13</v>
      </c>
      <c r="AS33">
        <v>3</v>
      </c>
      <c r="AT33">
        <v>1</v>
      </c>
      <c r="AV33">
        <v>42</v>
      </c>
      <c r="AX33" t="s">
        <v>443</v>
      </c>
      <c r="AY33" t="s">
        <v>442</v>
      </c>
      <c r="BA33">
        <v>59</v>
      </c>
      <c r="BD33">
        <v>5</v>
      </c>
      <c r="CW33">
        <v>1</v>
      </c>
      <c r="DA33">
        <v>1</v>
      </c>
    </row>
    <row r="34" spans="1:200" s="26" customFormat="1" ht="17" thickBot="1">
      <c r="A34" s="42">
        <v>24</v>
      </c>
      <c r="B34" s="28" t="s">
        <v>333</v>
      </c>
      <c r="C34" t="s">
        <v>332</v>
      </c>
      <c r="D34" t="s">
        <v>441</v>
      </c>
      <c r="E34" s="26">
        <v>3</v>
      </c>
      <c r="F34" s="26">
        <v>3</v>
      </c>
      <c r="G34" s="26">
        <v>0</v>
      </c>
      <c r="H34" s="26">
        <v>0</v>
      </c>
      <c r="I34" s="26">
        <v>0</v>
      </c>
      <c r="K34" s="26">
        <v>3</v>
      </c>
      <c r="L34" s="26">
        <v>67</v>
      </c>
      <c r="N34" s="26">
        <v>39</v>
      </c>
      <c r="O34" s="26">
        <v>28</v>
      </c>
      <c r="P34" s="26">
        <v>0</v>
      </c>
      <c r="Q34" s="26">
        <v>67</v>
      </c>
      <c r="R34" s="26" t="s">
        <v>416</v>
      </c>
      <c r="S34" s="26" t="s">
        <v>182</v>
      </c>
      <c r="T34" s="26">
        <v>43</v>
      </c>
      <c r="U34" s="26">
        <v>0</v>
      </c>
      <c r="W34" s="26">
        <v>28</v>
      </c>
      <c r="X34" s="26">
        <v>15</v>
      </c>
      <c r="Y34" s="26">
        <v>0</v>
      </c>
      <c r="Z34" s="26">
        <v>0</v>
      </c>
      <c r="AA34" s="26">
        <v>43</v>
      </c>
      <c r="AH34" s="26">
        <v>5</v>
      </c>
      <c r="AI34" s="26">
        <v>36</v>
      </c>
      <c r="AJ34" s="26">
        <v>2</v>
      </c>
      <c r="AO34" s="26">
        <v>43</v>
      </c>
      <c r="AQ34" s="26">
        <v>23</v>
      </c>
      <c r="AR34" s="26">
        <v>14</v>
      </c>
      <c r="AS34" s="26">
        <v>6</v>
      </c>
      <c r="AT34" s="26">
        <v>0</v>
      </c>
      <c r="AU34" s="26">
        <v>0</v>
      </c>
      <c r="AV34" s="26">
        <v>43</v>
      </c>
      <c r="AX34" s="26" t="s">
        <v>446</v>
      </c>
      <c r="AY34" s="26" t="s">
        <v>447</v>
      </c>
      <c r="BA34" s="26">
        <v>51</v>
      </c>
      <c r="BD34" s="26">
        <v>5</v>
      </c>
      <c r="BH34" s="26">
        <v>1</v>
      </c>
      <c r="BL34" s="26">
        <v>1</v>
      </c>
      <c r="BO34" s="26">
        <v>2</v>
      </c>
      <c r="BT34" s="26">
        <v>2</v>
      </c>
      <c r="DB34" s="26">
        <v>1</v>
      </c>
      <c r="DC34" s="26">
        <v>2</v>
      </c>
      <c r="GB34" s="26">
        <v>1</v>
      </c>
      <c r="GR34" s="26">
        <v>1</v>
      </c>
    </row>
    <row r="35" spans="1:200" ht="17" thickTop="1">
      <c r="A35" s="24">
        <v>25</v>
      </c>
      <c r="B35" s="38" t="s">
        <v>334</v>
      </c>
      <c r="C35" s="38" t="s">
        <v>335</v>
      </c>
    </row>
    <row r="36" spans="1:200">
      <c r="A36" s="24">
        <v>26</v>
      </c>
      <c r="B36" t="s">
        <v>336</v>
      </c>
      <c r="C36" t="s">
        <v>337</v>
      </c>
      <c r="D36" t="s">
        <v>338</v>
      </c>
      <c r="CO36" s="27"/>
    </row>
    <row r="37" spans="1:200">
      <c r="A37" s="24">
        <v>27</v>
      </c>
      <c r="B37" t="s">
        <v>339</v>
      </c>
      <c r="C37" t="s">
        <v>337</v>
      </c>
      <c r="D37" t="s">
        <v>338</v>
      </c>
    </row>
    <row r="38" spans="1:200">
      <c r="A38" s="31">
        <v>28</v>
      </c>
      <c r="B38" t="s">
        <v>340</v>
      </c>
      <c r="C38" t="s">
        <v>341</v>
      </c>
      <c r="D38" t="s">
        <v>351</v>
      </c>
      <c r="E38">
        <v>3</v>
      </c>
      <c r="F38">
        <v>3</v>
      </c>
      <c r="G38">
        <v>0</v>
      </c>
      <c r="H38">
        <v>0</v>
      </c>
      <c r="I38">
        <v>0</v>
      </c>
      <c r="K38">
        <v>3</v>
      </c>
      <c r="L38">
        <v>92</v>
      </c>
      <c r="N38">
        <v>92</v>
      </c>
      <c r="O38">
        <v>0</v>
      </c>
      <c r="P38">
        <v>0</v>
      </c>
      <c r="Q38">
        <v>92</v>
      </c>
      <c r="R38" t="s">
        <v>353</v>
      </c>
      <c r="S38" t="s">
        <v>182</v>
      </c>
      <c r="T38">
        <v>71</v>
      </c>
      <c r="U38">
        <v>1</v>
      </c>
      <c r="W38">
        <v>71</v>
      </c>
      <c r="X38">
        <v>0</v>
      </c>
      <c r="Y38">
        <v>0</v>
      </c>
      <c r="Z38">
        <v>0</v>
      </c>
      <c r="AA38">
        <v>71</v>
      </c>
      <c r="AK38">
        <v>19</v>
      </c>
      <c r="AL38">
        <v>61</v>
      </c>
      <c r="AM38">
        <v>1</v>
      </c>
      <c r="AO38">
        <v>71</v>
      </c>
      <c r="AQ38">
        <v>22</v>
      </c>
      <c r="AR38">
        <v>38</v>
      </c>
      <c r="AS38">
        <v>9</v>
      </c>
      <c r="AT38">
        <v>1</v>
      </c>
      <c r="AU38">
        <v>1</v>
      </c>
      <c r="AV38">
        <v>71</v>
      </c>
      <c r="AX38" t="s">
        <v>354</v>
      </c>
      <c r="AY38" t="s">
        <v>355</v>
      </c>
      <c r="BA38">
        <v>79</v>
      </c>
      <c r="BB38">
        <v>2</v>
      </c>
      <c r="BD38">
        <v>1</v>
      </c>
      <c r="BW38">
        <v>5</v>
      </c>
      <c r="CW38">
        <v>3</v>
      </c>
      <c r="EZ38">
        <v>1</v>
      </c>
      <c r="FA38">
        <v>1</v>
      </c>
    </row>
    <row r="39" spans="1:200">
      <c r="A39" s="42">
        <v>29</v>
      </c>
      <c r="B39" t="s">
        <v>359</v>
      </c>
      <c r="C39" t="s">
        <v>360</v>
      </c>
      <c r="D39" t="s">
        <v>361</v>
      </c>
      <c r="E39">
        <v>2</v>
      </c>
      <c r="F39">
        <v>0</v>
      </c>
      <c r="G39">
        <v>2</v>
      </c>
      <c r="H39">
        <v>0</v>
      </c>
      <c r="I39">
        <v>0</v>
      </c>
      <c r="K39">
        <v>2</v>
      </c>
      <c r="L39">
        <v>46</v>
      </c>
      <c r="N39">
        <v>20</v>
      </c>
      <c r="O39">
        <v>26</v>
      </c>
      <c r="P39">
        <v>0</v>
      </c>
      <c r="Q39">
        <v>46</v>
      </c>
      <c r="R39" t="s">
        <v>362</v>
      </c>
      <c r="S39" t="s">
        <v>182</v>
      </c>
      <c r="T39">
        <v>42</v>
      </c>
      <c r="U39">
        <v>2</v>
      </c>
      <c r="W39">
        <v>17</v>
      </c>
      <c r="X39">
        <v>24</v>
      </c>
      <c r="Y39">
        <v>1</v>
      </c>
      <c r="Z39">
        <v>0</v>
      </c>
      <c r="AA39">
        <v>42</v>
      </c>
      <c r="AC39">
        <v>2</v>
      </c>
      <c r="AH39">
        <v>2</v>
      </c>
      <c r="AI39">
        <v>28</v>
      </c>
      <c r="AJ39">
        <v>10</v>
      </c>
      <c r="AO39">
        <v>42</v>
      </c>
      <c r="AQ39">
        <v>17</v>
      </c>
      <c r="AR39">
        <v>17</v>
      </c>
      <c r="AS39">
        <v>8</v>
      </c>
      <c r="AT39">
        <v>0</v>
      </c>
      <c r="AU39">
        <v>0</v>
      </c>
      <c r="AV39">
        <v>42</v>
      </c>
      <c r="AX39" t="s">
        <v>363</v>
      </c>
      <c r="AY39" t="s">
        <v>364</v>
      </c>
      <c r="BA39">
        <v>31</v>
      </c>
      <c r="BB39">
        <v>1</v>
      </c>
      <c r="BH39">
        <v>1</v>
      </c>
      <c r="BO39">
        <v>1</v>
      </c>
      <c r="BT39">
        <v>2</v>
      </c>
      <c r="CW39">
        <v>1</v>
      </c>
      <c r="CX39">
        <v>1</v>
      </c>
      <c r="DB39">
        <v>1</v>
      </c>
      <c r="EM39">
        <v>1</v>
      </c>
      <c r="EZ39">
        <v>1</v>
      </c>
      <c r="GQ39">
        <v>1</v>
      </c>
    </row>
    <row r="40" spans="1:200">
      <c r="A40" s="42">
        <v>30</v>
      </c>
      <c r="B40" t="s">
        <v>368</v>
      </c>
      <c r="C40" t="s">
        <v>371</v>
      </c>
      <c r="D40" t="s">
        <v>374</v>
      </c>
      <c r="E40">
        <v>3</v>
      </c>
      <c r="F40">
        <v>3</v>
      </c>
      <c r="G40">
        <v>0</v>
      </c>
      <c r="H40">
        <v>0</v>
      </c>
      <c r="I40">
        <v>0</v>
      </c>
      <c r="K40">
        <v>1</v>
      </c>
      <c r="L40">
        <v>80</v>
      </c>
      <c r="N40">
        <v>40</v>
      </c>
      <c r="O40">
        <v>40</v>
      </c>
      <c r="P40">
        <v>0</v>
      </c>
      <c r="Q40">
        <v>80</v>
      </c>
      <c r="R40" t="s">
        <v>387</v>
      </c>
      <c r="S40" t="s">
        <v>182</v>
      </c>
      <c r="T40">
        <v>77</v>
      </c>
      <c r="U40">
        <v>1</v>
      </c>
      <c r="W40">
        <v>32</v>
      </c>
      <c r="X40">
        <v>43</v>
      </c>
      <c r="Y40">
        <v>2</v>
      </c>
      <c r="Z40">
        <v>2</v>
      </c>
      <c r="AA40">
        <v>77</v>
      </c>
      <c r="AC40">
        <v>2</v>
      </c>
      <c r="AH40">
        <v>2</v>
      </c>
      <c r="AI40">
        <v>70</v>
      </c>
      <c r="AJ40">
        <v>3</v>
      </c>
      <c r="AO40">
        <v>77</v>
      </c>
      <c r="AQ40">
        <v>47</v>
      </c>
      <c r="AR40">
        <v>24</v>
      </c>
      <c r="AS40">
        <v>5</v>
      </c>
      <c r="AU40">
        <v>1</v>
      </c>
      <c r="AV40">
        <v>77</v>
      </c>
      <c r="AX40" t="s">
        <v>39</v>
      </c>
      <c r="BS40">
        <v>1</v>
      </c>
    </row>
    <row r="41" spans="1:200">
      <c r="A41" s="42">
        <v>31</v>
      </c>
      <c r="B41" t="s">
        <v>369</v>
      </c>
      <c r="C41" t="s">
        <v>371</v>
      </c>
      <c r="D41" t="s">
        <v>374</v>
      </c>
      <c r="E41">
        <v>2</v>
      </c>
      <c r="F41">
        <v>2</v>
      </c>
      <c r="G41">
        <v>0</v>
      </c>
      <c r="H41">
        <v>0</v>
      </c>
      <c r="I41">
        <v>0</v>
      </c>
      <c r="K41">
        <v>2</v>
      </c>
      <c r="L41">
        <v>53</v>
      </c>
      <c r="N41">
        <v>24</v>
      </c>
      <c r="O41">
        <v>29</v>
      </c>
      <c r="P41">
        <v>0</v>
      </c>
      <c r="Q41">
        <v>53</v>
      </c>
      <c r="R41" t="s">
        <v>389</v>
      </c>
      <c r="S41" t="s">
        <v>182</v>
      </c>
      <c r="T41">
        <v>46</v>
      </c>
      <c r="U41">
        <v>0</v>
      </c>
      <c r="W41">
        <v>19</v>
      </c>
      <c r="X41">
        <v>26</v>
      </c>
      <c r="Y41">
        <v>0</v>
      </c>
      <c r="Z41">
        <v>1</v>
      </c>
      <c r="AA41">
        <v>45</v>
      </c>
      <c r="AC41">
        <v>2</v>
      </c>
      <c r="AH41">
        <v>4</v>
      </c>
      <c r="AI41">
        <v>38</v>
      </c>
      <c r="AJ41">
        <v>1</v>
      </c>
      <c r="AK41">
        <v>1</v>
      </c>
      <c r="AO41">
        <v>46</v>
      </c>
      <c r="AQ41">
        <v>24</v>
      </c>
      <c r="AR41">
        <v>17</v>
      </c>
      <c r="AS41">
        <v>4</v>
      </c>
      <c r="AT41">
        <v>0</v>
      </c>
      <c r="AU41">
        <v>1</v>
      </c>
      <c r="AV41">
        <v>45</v>
      </c>
      <c r="AX41" t="s">
        <v>390</v>
      </c>
      <c r="AY41" t="s">
        <v>205</v>
      </c>
      <c r="BA41">
        <v>48</v>
      </c>
      <c r="BD41">
        <v>1</v>
      </c>
      <c r="BV41">
        <v>1</v>
      </c>
      <c r="DR41">
        <v>1</v>
      </c>
      <c r="EZ41">
        <v>1</v>
      </c>
      <c r="FS41">
        <v>1</v>
      </c>
    </row>
    <row r="42" spans="1:200">
      <c r="A42" s="42">
        <v>32</v>
      </c>
      <c r="B42" t="s">
        <v>370</v>
      </c>
      <c r="C42" t="s">
        <v>371</v>
      </c>
      <c r="D42" t="s">
        <v>374</v>
      </c>
      <c r="E42">
        <v>1</v>
      </c>
      <c r="F42">
        <v>1</v>
      </c>
      <c r="G42">
        <v>0</v>
      </c>
      <c r="H42">
        <v>0</v>
      </c>
      <c r="I42">
        <v>0</v>
      </c>
      <c r="K42">
        <v>1</v>
      </c>
      <c r="L42">
        <v>28</v>
      </c>
      <c r="N42">
        <v>13</v>
      </c>
      <c r="O42">
        <v>15</v>
      </c>
      <c r="P42">
        <v>0</v>
      </c>
      <c r="Q42">
        <v>28</v>
      </c>
      <c r="R42" t="s">
        <v>387</v>
      </c>
      <c r="S42" t="s">
        <v>182</v>
      </c>
      <c r="T42">
        <v>24</v>
      </c>
      <c r="U42">
        <v>1</v>
      </c>
      <c r="W42">
        <v>10</v>
      </c>
      <c r="X42">
        <v>13</v>
      </c>
      <c r="Y42">
        <v>1</v>
      </c>
      <c r="Z42">
        <v>0</v>
      </c>
      <c r="AA42">
        <v>24</v>
      </c>
      <c r="AC42">
        <v>1</v>
      </c>
      <c r="AH42">
        <v>2</v>
      </c>
      <c r="AI42">
        <v>19</v>
      </c>
      <c r="AJ42">
        <v>2</v>
      </c>
      <c r="AO42">
        <v>24</v>
      </c>
      <c r="AQ42">
        <v>3</v>
      </c>
      <c r="AR42">
        <v>18</v>
      </c>
      <c r="AS42">
        <v>3</v>
      </c>
      <c r="AT42">
        <v>0</v>
      </c>
      <c r="AU42">
        <v>0</v>
      </c>
      <c r="AV42">
        <v>24</v>
      </c>
      <c r="AX42" t="s">
        <v>393</v>
      </c>
      <c r="BA42">
        <v>27</v>
      </c>
      <c r="EZ42">
        <v>1</v>
      </c>
    </row>
    <row r="43" spans="1:200">
      <c r="A43" s="42">
        <v>33</v>
      </c>
      <c r="B43" s="19" t="s">
        <v>372</v>
      </c>
      <c r="C43" t="s">
        <v>373</v>
      </c>
      <c r="D43" t="s">
        <v>375</v>
      </c>
      <c r="E43">
        <v>4</v>
      </c>
      <c r="F43">
        <v>4</v>
      </c>
      <c r="G43">
        <v>0</v>
      </c>
      <c r="H43">
        <v>0</v>
      </c>
      <c r="I43">
        <v>0</v>
      </c>
      <c r="K43">
        <v>2</v>
      </c>
      <c r="L43">
        <v>142</v>
      </c>
      <c r="N43">
        <v>142</v>
      </c>
      <c r="O43">
        <v>0</v>
      </c>
      <c r="P43">
        <v>0</v>
      </c>
      <c r="Q43">
        <v>142</v>
      </c>
      <c r="R43" t="s">
        <v>396</v>
      </c>
      <c r="S43" t="s">
        <v>182</v>
      </c>
      <c r="T43">
        <v>39</v>
      </c>
      <c r="U43">
        <v>2</v>
      </c>
      <c r="W43">
        <v>39</v>
      </c>
      <c r="X43">
        <v>0</v>
      </c>
      <c r="Y43">
        <v>0</v>
      </c>
      <c r="Z43">
        <v>0</v>
      </c>
      <c r="AA43">
        <v>39</v>
      </c>
      <c r="AH43">
        <v>3</v>
      </c>
      <c r="AI43">
        <v>34</v>
      </c>
      <c r="AJ43">
        <v>2</v>
      </c>
      <c r="AO43">
        <v>39</v>
      </c>
      <c r="AQ43">
        <v>9</v>
      </c>
      <c r="AR43">
        <v>23</v>
      </c>
      <c r="AS43">
        <v>5</v>
      </c>
      <c r="AT43">
        <v>2</v>
      </c>
      <c r="AU43">
        <v>0</v>
      </c>
      <c r="AV43">
        <v>39</v>
      </c>
      <c r="AX43" t="s">
        <v>397</v>
      </c>
      <c r="AY43" t="s">
        <v>398</v>
      </c>
      <c r="BA43">
        <v>133</v>
      </c>
      <c r="BI43">
        <v>1</v>
      </c>
      <c r="BL43">
        <v>1</v>
      </c>
      <c r="BP43">
        <v>1</v>
      </c>
      <c r="BY43">
        <v>2</v>
      </c>
      <c r="CR43">
        <v>1</v>
      </c>
      <c r="DR43">
        <v>1</v>
      </c>
      <c r="FH43">
        <v>1</v>
      </c>
      <c r="FM43">
        <v>1</v>
      </c>
    </row>
    <row r="44" spans="1:200">
      <c r="A44" s="42">
        <v>34</v>
      </c>
      <c r="B44" t="s">
        <v>492</v>
      </c>
      <c r="C44" t="s">
        <v>475</v>
      </c>
      <c r="D44" t="s">
        <v>476</v>
      </c>
      <c r="E44">
        <v>2</v>
      </c>
      <c r="F44">
        <v>2</v>
      </c>
      <c r="G44">
        <v>0</v>
      </c>
      <c r="H44">
        <v>0</v>
      </c>
      <c r="I44">
        <v>0</v>
      </c>
      <c r="K44">
        <v>1</v>
      </c>
      <c r="L44">
        <v>64</v>
      </c>
      <c r="N44">
        <v>64</v>
      </c>
      <c r="O44">
        <v>0</v>
      </c>
      <c r="P44">
        <v>0</v>
      </c>
      <c r="Q44">
        <v>64</v>
      </c>
      <c r="R44" t="s">
        <v>477</v>
      </c>
      <c r="S44" t="s">
        <v>182</v>
      </c>
      <c r="T44">
        <v>47</v>
      </c>
      <c r="U44">
        <v>1</v>
      </c>
      <c r="W44">
        <v>47</v>
      </c>
      <c r="X44">
        <v>0</v>
      </c>
      <c r="Y44">
        <v>0</v>
      </c>
      <c r="Z44">
        <v>0</v>
      </c>
      <c r="AA44">
        <v>47</v>
      </c>
      <c r="AF44">
        <v>2</v>
      </c>
      <c r="AG44">
        <v>41</v>
      </c>
      <c r="AH44">
        <v>4</v>
      </c>
      <c r="AO44">
        <v>47</v>
      </c>
      <c r="AQ44">
        <v>30</v>
      </c>
      <c r="AR44">
        <v>17</v>
      </c>
      <c r="AS44">
        <v>0</v>
      </c>
      <c r="AT44">
        <v>0</v>
      </c>
      <c r="AU44">
        <v>0</v>
      </c>
      <c r="AV44">
        <v>47</v>
      </c>
      <c r="AX44" t="s">
        <v>478</v>
      </c>
      <c r="AY44" t="s">
        <v>479</v>
      </c>
      <c r="BA44">
        <v>50</v>
      </c>
      <c r="BL44">
        <v>1</v>
      </c>
      <c r="BN44">
        <v>1</v>
      </c>
      <c r="BT44">
        <v>1</v>
      </c>
      <c r="CE44">
        <v>1</v>
      </c>
      <c r="CL44">
        <v>1</v>
      </c>
      <c r="CW44">
        <v>1</v>
      </c>
      <c r="DB44">
        <v>1</v>
      </c>
      <c r="DH44">
        <v>1</v>
      </c>
      <c r="DM44">
        <v>1</v>
      </c>
      <c r="FL44">
        <v>1</v>
      </c>
      <c r="FM44">
        <v>1</v>
      </c>
      <c r="FR44">
        <v>1</v>
      </c>
      <c r="FZ44">
        <v>2</v>
      </c>
    </row>
    <row r="46" spans="1:200">
      <c r="B46" s="43">
        <v>45748</v>
      </c>
    </row>
    <row r="48" spans="1:200">
      <c r="A48" s="42">
        <v>35</v>
      </c>
      <c r="B48" t="s">
        <v>459</v>
      </c>
      <c r="C48" t="s">
        <v>460</v>
      </c>
      <c r="D48" t="s">
        <v>461</v>
      </c>
      <c r="E48">
        <v>3</v>
      </c>
      <c r="F48">
        <v>3</v>
      </c>
      <c r="G48">
        <v>0</v>
      </c>
      <c r="H48">
        <v>0</v>
      </c>
      <c r="I48">
        <v>0</v>
      </c>
      <c r="K48">
        <v>3</v>
      </c>
      <c r="L48">
        <v>59</v>
      </c>
      <c r="N48">
        <v>0</v>
      </c>
      <c r="O48">
        <v>59</v>
      </c>
      <c r="P48">
        <v>0</v>
      </c>
      <c r="Q48">
        <v>59</v>
      </c>
      <c r="R48" t="s">
        <v>462</v>
      </c>
      <c r="S48" t="s">
        <v>182</v>
      </c>
      <c r="T48">
        <v>17</v>
      </c>
      <c r="U48">
        <v>0</v>
      </c>
      <c r="W48">
        <v>0</v>
      </c>
      <c r="X48">
        <v>17</v>
      </c>
      <c r="Y48">
        <v>0</v>
      </c>
      <c r="Z48">
        <v>0</v>
      </c>
      <c r="AA48">
        <v>17</v>
      </c>
      <c r="AH48">
        <v>5</v>
      </c>
      <c r="AI48">
        <v>11</v>
      </c>
      <c r="AJ48">
        <v>1</v>
      </c>
      <c r="AO48">
        <v>17</v>
      </c>
      <c r="AQ48">
        <v>7</v>
      </c>
      <c r="AR48">
        <v>9</v>
      </c>
      <c r="AS48">
        <v>1</v>
      </c>
      <c r="AX48" t="s">
        <v>463</v>
      </c>
      <c r="AY48" t="s">
        <v>464</v>
      </c>
      <c r="BA48">
        <v>42</v>
      </c>
      <c r="BD48">
        <v>1</v>
      </c>
      <c r="BS48">
        <v>5</v>
      </c>
      <c r="BT48">
        <v>1</v>
      </c>
      <c r="BZ48">
        <v>1</v>
      </c>
      <c r="CQ48">
        <v>1</v>
      </c>
      <c r="CX48">
        <v>1</v>
      </c>
      <c r="EW48">
        <v>1</v>
      </c>
      <c r="FD48">
        <v>1</v>
      </c>
      <c r="FL48">
        <v>1</v>
      </c>
      <c r="FM48">
        <v>2</v>
      </c>
      <c r="FP48">
        <v>1</v>
      </c>
      <c r="FR48">
        <v>1</v>
      </c>
    </row>
    <row r="49" spans="1:185">
      <c r="A49" s="31">
        <v>36</v>
      </c>
      <c r="B49" t="s">
        <v>376</v>
      </c>
      <c r="C49" t="s">
        <v>377</v>
      </c>
      <c r="D49" t="s">
        <v>378</v>
      </c>
      <c r="E49">
        <v>1</v>
      </c>
      <c r="F49">
        <v>1</v>
      </c>
      <c r="G49">
        <v>0</v>
      </c>
      <c r="H49">
        <v>0</v>
      </c>
      <c r="I49">
        <v>0</v>
      </c>
      <c r="K49">
        <v>1</v>
      </c>
      <c r="L49">
        <v>48</v>
      </c>
      <c r="N49">
        <v>48</v>
      </c>
      <c r="O49">
        <v>0</v>
      </c>
      <c r="P49">
        <v>0</v>
      </c>
      <c r="Q49">
        <v>48</v>
      </c>
      <c r="R49" t="s">
        <v>379</v>
      </c>
      <c r="S49" t="s">
        <v>182</v>
      </c>
      <c r="T49">
        <v>28</v>
      </c>
      <c r="U49">
        <v>1</v>
      </c>
      <c r="W49">
        <v>28</v>
      </c>
      <c r="X49">
        <v>0</v>
      </c>
      <c r="Y49">
        <v>0</v>
      </c>
      <c r="Z49">
        <v>0</v>
      </c>
      <c r="AA49">
        <v>28</v>
      </c>
      <c r="AC49">
        <v>1</v>
      </c>
      <c r="AI49">
        <v>6</v>
      </c>
      <c r="AJ49">
        <v>22</v>
      </c>
      <c r="AO49">
        <v>28</v>
      </c>
      <c r="AQ49">
        <v>1</v>
      </c>
      <c r="AR49">
        <v>11</v>
      </c>
      <c r="AS49">
        <v>11</v>
      </c>
      <c r="AT49">
        <v>4</v>
      </c>
      <c r="AU49">
        <v>2</v>
      </c>
      <c r="AV49">
        <v>28</v>
      </c>
      <c r="AX49" t="s">
        <v>380</v>
      </c>
      <c r="AY49" t="s">
        <v>381</v>
      </c>
      <c r="BA49">
        <v>40</v>
      </c>
      <c r="BO49">
        <v>1</v>
      </c>
      <c r="BT49">
        <v>1</v>
      </c>
      <c r="BW49">
        <v>1</v>
      </c>
      <c r="CW49">
        <v>1</v>
      </c>
      <c r="EZ49">
        <v>1</v>
      </c>
      <c r="FP49">
        <v>2</v>
      </c>
      <c r="FZ49">
        <v>1</v>
      </c>
    </row>
    <row r="50" spans="1:185">
      <c r="A50" s="24">
        <v>37</v>
      </c>
      <c r="B50" t="s">
        <v>401</v>
      </c>
      <c r="C50" t="s">
        <v>414</v>
      </c>
      <c r="D50" t="s">
        <v>415</v>
      </c>
    </row>
    <row r="51" spans="1:185">
      <c r="A51" s="42">
        <v>38</v>
      </c>
      <c r="B51" t="s">
        <v>402</v>
      </c>
      <c r="C51" t="s">
        <v>403</v>
      </c>
      <c r="D51" t="s">
        <v>404</v>
      </c>
      <c r="E51">
        <v>1</v>
      </c>
      <c r="F51">
        <v>1</v>
      </c>
      <c r="G51">
        <v>0</v>
      </c>
      <c r="H51">
        <v>0</v>
      </c>
      <c r="I51">
        <v>0</v>
      </c>
      <c r="K51">
        <v>1</v>
      </c>
      <c r="L51">
        <v>19</v>
      </c>
      <c r="N51">
        <v>8</v>
      </c>
      <c r="O51">
        <v>11</v>
      </c>
      <c r="P51">
        <v>0</v>
      </c>
      <c r="Q51">
        <v>19</v>
      </c>
      <c r="R51" t="s">
        <v>416</v>
      </c>
      <c r="S51" t="s">
        <v>182</v>
      </c>
      <c r="T51">
        <v>19</v>
      </c>
      <c r="U51">
        <v>0</v>
      </c>
      <c r="W51">
        <v>8</v>
      </c>
      <c r="X51">
        <v>11</v>
      </c>
      <c r="Y51">
        <v>0</v>
      </c>
      <c r="Z51">
        <v>0</v>
      </c>
      <c r="AA51">
        <v>19</v>
      </c>
      <c r="AH51">
        <v>1</v>
      </c>
      <c r="AI51">
        <v>16</v>
      </c>
      <c r="AJ51">
        <v>2</v>
      </c>
      <c r="AO51">
        <v>19</v>
      </c>
      <c r="AQ51">
        <v>8</v>
      </c>
      <c r="AR51">
        <v>6</v>
      </c>
      <c r="AS51">
        <v>3</v>
      </c>
      <c r="AU51">
        <v>2</v>
      </c>
      <c r="AV51">
        <v>19</v>
      </c>
      <c r="AX51" t="s">
        <v>430</v>
      </c>
      <c r="BA51">
        <v>17</v>
      </c>
      <c r="BO51">
        <v>1</v>
      </c>
      <c r="BS51">
        <v>1</v>
      </c>
    </row>
    <row r="52" spans="1:185">
      <c r="A52" s="42">
        <v>39</v>
      </c>
      <c r="B52" t="s">
        <v>405</v>
      </c>
      <c r="C52" t="s">
        <v>406</v>
      </c>
      <c r="D52" t="s">
        <v>408</v>
      </c>
      <c r="E52">
        <v>4</v>
      </c>
      <c r="F52">
        <v>4</v>
      </c>
      <c r="G52">
        <v>0</v>
      </c>
      <c r="H52">
        <v>0</v>
      </c>
      <c r="I52">
        <v>0</v>
      </c>
      <c r="K52">
        <v>4</v>
      </c>
      <c r="L52">
        <v>135</v>
      </c>
      <c r="N52">
        <v>99</v>
      </c>
      <c r="O52">
        <v>36</v>
      </c>
      <c r="P52">
        <v>0</v>
      </c>
      <c r="Q52">
        <v>135</v>
      </c>
      <c r="R52" t="s">
        <v>409</v>
      </c>
      <c r="S52" t="s">
        <v>182</v>
      </c>
      <c r="T52">
        <v>69</v>
      </c>
      <c r="U52">
        <v>0</v>
      </c>
      <c r="W52">
        <v>44</v>
      </c>
      <c r="X52">
        <v>21</v>
      </c>
      <c r="Y52">
        <v>4</v>
      </c>
      <c r="Z52">
        <v>0</v>
      </c>
      <c r="AA52">
        <v>69</v>
      </c>
      <c r="AC52">
        <v>2</v>
      </c>
      <c r="AI52">
        <v>10</v>
      </c>
      <c r="AJ52">
        <v>52</v>
      </c>
      <c r="AK52">
        <v>5</v>
      </c>
      <c r="AO52">
        <v>69</v>
      </c>
      <c r="AQ52">
        <v>15</v>
      </c>
      <c r="AR52">
        <v>35</v>
      </c>
      <c r="AS52">
        <v>14</v>
      </c>
      <c r="AT52">
        <v>3</v>
      </c>
      <c r="AU52">
        <v>2</v>
      </c>
      <c r="AV52">
        <v>69</v>
      </c>
      <c r="AX52" t="s">
        <v>410</v>
      </c>
      <c r="AY52" t="s">
        <v>411</v>
      </c>
      <c r="BA52">
        <v>128</v>
      </c>
      <c r="BD52">
        <v>1</v>
      </c>
      <c r="BH52">
        <v>1</v>
      </c>
      <c r="CF52">
        <v>1</v>
      </c>
      <c r="CW52">
        <v>2</v>
      </c>
      <c r="DM52">
        <v>1</v>
      </c>
      <c r="FP52">
        <v>1</v>
      </c>
      <c r="FR52">
        <v>1</v>
      </c>
    </row>
    <row r="53" spans="1:185">
      <c r="A53" s="42">
        <v>40</v>
      </c>
      <c r="B53" t="s">
        <v>407</v>
      </c>
      <c r="C53" t="s">
        <v>406</v>
      </c>
      <c r="D53" t="s">
        <v>408</v>
      </c>
      <c r="E53">
        <v>3</v>
      </c>
      <c r="F53">
        <v>3</v>
      </c>
      <c r="G53">
        <v>0</v>
      </c>
      <c r="H53">
        <v>0</v>
      </c>
      <c r="I53">
        <v>0</v>
      </c>
      <c r="K53">
        <v>3</v>
      </c>
      <c r="L53">
        <v>76</v>
      </c>
      <c r="N53">
        <v>72</v>
      </c>
      <c r="O53">
        <v>4</v>
      </c>
      <c r="P53">
        <v>0</v>
      </c>
      <c r="Q53">
        <v>76</v>
      </c>
      <c r="R53" t="s">
        <v>416</v>
      </c>
      <c r="S53" t="s">
        <v>182</v>
      </c>
      <c r="T53">
        <v>73</v>
      </c>
      <c r="U53">
        <v>0</v>
      </c>
      <c r="W53">
        <v>69</v>
      </c>
      <c r="X53">
        <v>4</v>
      </c>
      <c r="Y53">
        <v>0</v>
      </c>
      <c r="Z53">
        <v>0</v>
      </c>
      <c r="AA53">
        <v>73</v>
      </c>
      <c r="AC53">
        <v>2</v>
      </c>
      <c r="AI53">
        <v>3</v>
      </c>
      <c r="AJ53">
        <v>62</v>
      </c>
      <c r="AK53">
        <v>5</v>
      </c>
      <c r="AO53">
        <v>73</v>
      </c>
      <c r="AQ53">
        <v>27</v>
      </c>
      <c r="AR53">
        <v>29</v>
      </c>
      <c r="AS53">
        <v>11</v>
      </c>
      <c r="AT53">
        <v>1</v>
      </c>
      <c r="AU53">
        <v>5</v>
      </c>
      <c r="AV53">
        <v>73</v>
      </c>
      <c r="AX53" t="s">
        <v>417</v>
      </c>
      <c r="AY53" t="s">
        <v>418</v>
      </c>
      <c r="BA53">
        <v>67</v>
      </c>
      <c r="BL53">
        <v>1</v>
      </c>
      <c r="BT53">
        <v>1</v>
      </c>
      <c r="FP53">
        <v>2</v>
      </c>
      <c r="FZ53">
        <v>1</v>
      </c>
      <c r="GC53">
        <v>1</v>
      </c>
    </row>
    <row r="54" spans="1:185">
      <c r="A54" s="24"/>
    </row>
    <row r="55" spans="1:185">
      <c r="A55" s="24"/>
      <c r="B55" s="43">
        <v>45778</v>
      </c>
    </row>
    <row r="57" spans="1:185">
      <c r="A57" s="42">
        <v>41</v>
      </c>
      <c r="B57" t="s">
        <v>421</v>
      </c>
      <c r="C57" t="s">
        <v>424</v>
      </c>
      <c r="D57" t="s">
        <v>423</v>
      </c>
      <c r="E57">
        <v>2</v>
      </c>
      <c r="F57">
        <v>2</v>
      </c>
      <c r="G57">
        <v>0</v>
      </c>
      <c r="H57">
        <v>0</v>
      </c>
      <c r="I57">
        <v>0</v>
      </c>
      <c r="K57">
        <v>3</v>
      </c>
      <c r="L57">
        <v>50</v>
      </c>
      <c r="N57">
        <v>23</v>
      </c>
      <c r="O57">
        <v>27</v>
      </c>
      <c r="P57">
        <v>0</v>
      </c>
      <c r="Q57">
        <v>50</v>
      </c>
      <c r="R57" t="s">
        <v>425</v>
      </c>
      <c r="S57" t="s">
        <v>182</v>
      </c>
      <c r="T57">
        <v>43</v>
      </c>
      <c r="U57">
        <v>3</v>
      </c>
      <c r="W57">
        <v>19</v>
      </c>
      <c r="X57">
        <v>24</v>
      </c>
      <c r="Y57">
        <v>0</v>
      </c>
      <c r="Z57">
        <v>0</v>
      </c>
      <c r="AA57">
        <v>43</v>
      </c>
      <c r="AH57">
        <v>5</v>
      </c>
      <c r="AI57">
        <v>36</v>
      </c>
      <c r="AJ57">
        <v>2</v>
      </c>
      <c r="AO57">
        <v>43</v>
      </c>
      <c r="AQ57">
        <v>12</v>
      </c>
      <c r="AR57">
        <v>25</v>
      </c>
      <c r="AS57">
        <v>6</v>
      </c>
      <c r="AT57">
        <v>0</v>
      </c>
      <c r="AU57">
        <v>0</v>
      </c>
      <c r="AV57">
        <v>0</v>
      </c>
      <c r="AX57" t="s">
        <v>426</v>
      </c>
      <c r="AY57" t="s">
        <v>427</v>
      </c>
      <c r="BA57">
        <v>44</v>
      </c>
      <c r="BD57">
        <v>2</v>
      </c>
      <c r="CW57">
        <v>1</v>
      </c>
      <c r="DG57">
        <v>1</v>
      </c>
      <c r="DN57">
        <v>1</v>
      </c>
      <c r="FP57">
        <v>1</v>
      </c>
    </row>
    <row r="58" spans="1:185">
      <c r="A58" s="42" t="s">
        <v>474</v>
      </c>
      <c r="B58" t="s">
        <v>422</v>
      </c>
      <c r="C58" t="s">
        <v>433</v>
      </c>
      <c r="D58" t="s">
        <v>434</v>
      </c>
      <c r="E58">
        <v>2</v>
      </c>
      <c r="F58">
        <v>2</v>
      </c>
      <c r="G58">
        <v>0</v>
      </c>
      <c r="H58">
        <v>0</v>
      </c>
      <c r="I58">
        <v>0</v>
      </c>
      <c r="K58">
        <v>4</v>
      </c>
      <c r="L58">
        <v>94</v>
      </c>
      <c r="N58">
        <v>0</v>
      </c>
      <c r="O58">
        <v>94</v>
      </c>
      <c r="P58">
        <v>0</v>
      </c>
      <c r="Q58">
        <v>94</v>
      </c>
      <c r="R58" t="s">
        <v>435</v>
      </c>
      <c r="S58" t="s">
        <v>182</v>
      </c>
      <c r="T58">
        <v>80</v>
      </c>
      <c r="U58">
        <v>4</v>
      </c>
      <c r="W58">
        <v>0</v>
      </c>
      <c r="X58">
        <v>80</v>
      </c>
      <c r="Y58">
        <v>0</v>
      </c>
      <c r="Z58">
        <v>0</v>
      </c>
      <c r="AA58">
        <v>80</v>
      </c>
      <c r="AC58">
        <v>3</v>
      </c>
      <c r="AD58">
        <v>2</v>
      </c>
      <c r="AE58">
        <v>10</v>
      </c>
      <c r="AF58">
        <v>18</v>
      </c>
      <c r="AG58">
        <v>24</v>
      </c>
      <c r="AH58">
        <v>20</v>
      </c>
      <c r="AI58">
        <v>3</v>
      </c>
      <c r="AO58">
        <v>80</v>
      </c>
      <c r="AQ58">
        <v>39</v>
      </c>
      <c r="AR58">
        <v>33</v>
      </c>
      <c r="AS58">
        <v>6</v>
      </c>
      <c r="AT58">
        <v>1</v>
      </c>
      <c r="AU58">
        <v>1</v>
      </c>
      <c r="AV58">
        <v>33</v>
      </c>
      <c r="AX58" t="s">
        <v>436</v>
      </c>
      <c r="AY58" t="s">
        <v>437</v>
      </c>
      <c r="BA58">
        <v>51</v>
      </c>
      <c r="BC58">
        <v>1</v>
      </c>
      <c r="BO58">
        <v>1</v>
      </c>
      <c r="BS58">
        <v>12</v>
      </c>
      <c r="BW58">
        <v>2</v>
      </c>
      <c r="CG58">
        <v>2</v>
      </c>
      <c r="CW58">
        <v>1</v>
      </c>
      <c r="CY58">
        <v>1</v>
      </c>
      <c r="DE58">
        <v>1</v>
      </c>
      <c r="DF58">
        <v>1</v>
      </c>
      <c r="DK58">
        <v>1</v>
      </c>
      <c r="DM58">
        <v>1</v>
      </c>
      <c r="FP58">
        <v>3</v>
      </c>
      <c r="FS58">
        <v>2</v>
      </c>
    </row>
    <row r="59" spans="1:185">
      <c r="A59" s="42">
        <v>43</v>
      </c>
      <c r="B59" t="s">
        <v>482</v>
      </c>
      <c r="C59" t="s">
        <v>483</v>
      </c>
      <c r="D59" t="s">
        <v>484</v>
      </c>
      <c r="E59">
        <v>1</v>
      </c>
      <c r="F59">
        <v>1</v>
      </c>
      <c r="G59">
        <v>0</v>
      </c>
      <c r="H59">
        <v>0</v>
      </c>
      <c r="I59">
        <v>0</v>
      </c>
      <c r="K59">
        <v>1</v>
      </c>
      <c r="L59">
        <v>13</v>
      </c>
      <c r="N59">
        <v>0</v>
      </c>
      <c r="O59">
        <v>13</v>
      </c>
      <c r="P59">
        <v>0</v>
      </c>
      <c r="Q59">
        <v>13</v>
      </c>
      <c r="R59" t="s">
        <v>485</v>
      </c>
      <c r="S59" t="s">
        <v>182</v>
      </c>
      <c r="T59">
        <v>7</v>
      </c>
      <c r="U59">
        <v>1</v>
      </c>
      <c r="W59">
        <v>0</v>
      </c>
      <c r="X59">
        <v>7</v>
      </c>
      <c r="Y59">
        <v>0</v>
      </c>
      <c r="Z59">
        <v>0</v>
      </c>
      <c r="AA59">
        <v>7</v>
      </c>
      <c r="AC59">
        <v>1</v>
      </c>
      <c r="AH59">
        <v>6</v>
      </c>
      <c r="AO59">
        <v>7</v>
      </c>
      <c r="AQ59">
        <v>5</v>
      </c>
      <c r="AR59">
        <v>2</v>
      </c>
      <c r="AS59">
        <v>0</v>
      </c>
      <c r="AT59">
        <v>0</v>
      </c>
      <c r="AU59">
        <v>0</v>
      </c>
      <c r="AV59">
        <v>7</v>
      </c>
      <c r="AX59" t="s">
        <v>486</v>
      </c>
      <c r="AY59" t="s">
        <v>487</v>
      </c>
      <c r="BA59">
        <v>8</v>
      </c>
      <c r="CD59">
        <v>1</v>
      </c>
      <c r="CW59">
        <v>1</v>
      </c>
      <c r="CX59">
        <v>1</v>
      </c>
      <c r="FS59">
        <v>1</v>
      </c>
    </row>
    <row r="60" spans="1:185">
      <c r="A60" s="42">
        <v>44</v>
      </c>
      <c r="B60" t="s">
        <v>467</v>
      </c>
      <c r="C60" t="s">
        <v>468</v>
      </c>
      <c r="D60" t="s">
        <v>469</v>
      </c>
      <c r="E60">
        <v>1</v>
      </c>
      <c r="F60">
        <v>1</v>
      </c>
      <c r="G60">
        <v>0</v>
      </c>
      <c r="H60">
        <v>0</v>
      </c>
      <c r="I60">
        <v>0</v>
      </c>
      <c r="K60">
        <v>1</v>
      </c>
      <c r="L60">
        <v>17</v>
      </c>
      <c r="N60">
        <v>9</v>
      </c>
      <c r="O60">
        <v>8</v>
      </c>
      <c r="P60">
        <v>0</v>
      </c>
      <c r="Q60">
        <v>17</v>
      </c>
      <c r="R60" t="s">
        <v>453</v>
      </c>
      <c r="S60" t="s">
        <v>182</v>
      </c>
      <c r="T60">
        <v>8</v>
      </c>
      <c r="U60">
        <v>1</v>
      </c>
      <c r="W60">
        <v>4</v>
      </c>
      <c r="X60">
        <v>4</v>
      </c>
      <c r="Y60">
        <v>0</v>
      </c>
      <c r="Z60">
        <v>0</v>
      </c>
      <c r="AA60">
        <v>8</v>
      </c>
      <c r="AE60">
        <v>7</v>
      </c>
      <c r="AF60">
        <v>1</v>
      </c>
      <c r="AO60">
        <v>8</v>
      </c>
      <c r="AR60">
        <v>8</v>
      </c>
      <c r="AV60">
        <v>8</v>
      </c>
      <c r="AX60" t="s">
        <v>470</v>
      </c>
      <c r="AY60" t="s">
        <v>135</v>
      </c>
      <c r="BA60">
        <v>14</v>
      </c>
      <c r="BS60">
        <v>1</v>
      </c>
      <c r="CC60">
        <v>1</v>
      </c>
      <c r="FQ60">
        <v>1</v>
      </c>
    </row>
    <row r="61" spans="1:185">
      <c r="A61" s="42">
        <v>45</v>
      </c>
      <c r="B61" t="s">
        <v>450</v>
      </c>
      <c r="C61" t="s">
        <v>451</v>
      </c>
      <c r="D61" t="s">
        <v>452</v>
      </c>
      <c r="E61">
        <v>2</v>
      </c>
      <c r="F61">
        <v>2</v>
      </c>
      <c r="G61">
        <v>0</v>
      </c>
      <c r="H61">
        <v>0</v>
      </c>
      <c r="I61">
        <v>0</v>
      </c>
      <c r="K61">
        <v>2</v>
      </c>
      <c r="L61">
        <v>72</v>
      </c>
      <c r="N61">
        <v>72</v>
      </c>
      <c r="O61">
        <v>0</v>
      </c>
      <c r="P61">
        <v>0</v>
      </c>
      <c r="Q61">
        <v>72</v>
      </c>
      <c r="R61" t="s">
        <v>453</v>
      </c>
      <c r="S61" t="s">
        <v>182</v>
      </c>
      <c r="T61">
        <v>60</v>
      </c>
      <c r="U61">
        <v>0</v>
      </c>
      <c r="W61">
        <v>60</v>
      </c>
      <c r="X61">
        <v>0</v>
      </c>
      <c r="Y61">
        <v>0</v>
      </c>
      <c r="Z61">
        <v>0</v>
      </c>
      <c r="AA61">
        <v>60</v>
      </c>
      <c r="AC61">
        <v>1</v>
      </c>
      <c r="AG61">
        <v>5</v>
      </c>
      <c r="AH61">
        <v>44</v>
      </c>
      <c r="AI61">
        <v>10</v>
      </c>
      <c r="AO61">
        <v>60</v>
      </c>
      <c r="AQ61">
        <v>14</v>
      </c>
      <c r="AR61">
        <v>18</v>
      </c>
      <c r="AS61">
        <v>20</v>
      </c>
      <c r="AT61">
        <v>1</v>
      </c>
      <c r="AU61">
        <v>7</v>
      </c>
      <c r="AV61">
        <v>60</v>
      </c>
      <c r="AX61" t="s">
        <v>454</v>
      </c>
      <c r="AY61" t="s">
        <v>455</v>
      </c>
      <c r="BA61">
        <v>54</v>
      </c>
      <c r="BM61">
        <v>1</v>
      </c>
      <c r="BO61">
        <v>1</v>
      </c>
      <c r="CE61">
        <v>1</v>
      </c>
      <c r="CY61">
        <v>2</v>
      </c>
      <c r="DG61">
        <v>1</v>
      </c>
      <c r="DH61">
        <v>1</v>
      </c>
      <c r="DM61">
        <v>2</v>
      </c>
      <c r="FM61">
        <v>3</v>
      </c>
      <c r="FP61">
        <v>5</v>
      </c>
      <c r="FR61">
        <v>1</v>
      </c>
    </row>
    <row r="62" spans="1:185">
      <c r="A62" s="42">
        <v>46</v>
      </c>
      <c r="B62" t="s">
        <v>489</v>
      </c>
      <c r="C62" t="s">
        <v>490</v>
      </c>
      <c r="D62" t="s">
        <v>491</v>
      </c>
      <c r="E62">
        <v>3</v>
      </c>
      <c r="F62">
        <v>3</v>
      </c>
      <c r="G62">
        <v>0</v>
      </c>
      <c r="H62">
        <v>0</v>
      </c>
      <c r="I62">
        <v>0</v>
      </c>
      <c r="K62">
        <v>3</v>
      </c>
      <c r="L62">
        <v>55</v>
      </c>
      <c r="N62">
        <v>18</v>
      </c>
      <c r="O62">
        <v>37</v>
      </c>
      <c r="P62">
        <v>0</v>
      </c>
      <c r="Q62">
        <v>55</v>
      </c>
      <c r="R62" t="s">
        <v>453</v>
      </c>
      <c r="S62" t="s">
        <v>182</v>
      </c>
      <c r="T62">
        <v>31</v>
      </c>
      <c r="U62">
        <v>2</v>
      </c>
      <c r="W62">
        <v>14</v>
      </c>
      <c r="X62">
        <v>15</v>
      </c>
      <c r="Y62">
        <v>0</v>
      </c>
      <c r="Z62">
        <v>0</v>
      </c>
      <c r="AA62">
        <v>29</v>
      </c>
      <c r="AE62">
        <v>7</v>
      </c>
      <c r="AF62">
        <v>8</v>
      </c>
      <c r="AG62">
        <v>2</v>
      </c>
      <c r="AH62">
        <v>11</v>
      </c>
      <c r="AI62">
        <v>1</v>
      </c>
      <c r="AO62">
        <v>29</v>
      </c>
      <c r="AQ62">
        <v>13</v>
      </c>
      <c r="AR62">
        <v>13</v>
      </c>
      <c r="AS62">
        <v>3</v>
      </c>
      <c r="AT62">
        <v>0</v>
      </c>
      <c r="AU62">
        <v>0</v>
      </c>
      <c r="AV62">
        <v>29</v>
      </c>
      <c r="AX62" t="s">
        <v>494</v>
      </c>
      <c r="AY62" t="s">
        <v>493</v>
      </c>
      <c r="BA62">
        <v>9</v>
      </c>
      <c r="BL62">
        <v>1</v>
      </c>
      <c r="BO62">
        <v>1</v>
      </c>
      <c r="BS62">
        <v>1</v>
      </c>
      <c r="BT62">
        <v>1</v>
      </c>
      <c r="CG62">
        <v>2</v>
      </c>
      <c r="CY62">
        <v>6</v>
      </c>
      <c r="DH62">
        <v>1</v>
      </c>
      <c r="DT62">
        <v>1</v>
      </c>
      <c r="EW62">
        <v>1</v>
      </c>
      <c r="FP62">
        <v>5</v>
      </c>
    </row>
    <row r="63" spans="1:185">
      <c r="A63" s="24">
        <v>47</v>
      </c>
      <c r="B63" t="s">
        <v>497</v>
      </c>
      <c r="C63" t="s">
        <v>267</v>
      </c>
      <c r="D63" t="s">
        <v>498</v>
      </c>
      <c r="E63">
        <v>2</v>
      </c>
      <c r="F63">
        <v>0</v>
      </c>
      <c r="G63">
        <v>2</v>
      </c>
      <c r="H63">
        <v>0</v>
      </c>
      <c r="I63">
        <v>0</v>
      </c>
      <c r="K63">
        <v>2</v>
      </c>
      <c r="L63">
        <v>42</v>
      </c>
      <c r="N63">
        <v>34</v>
      </c>
      <c r="O63">
        <v>8</v>
      </c>
      <c r="P63">
        <v>0</v>
      </c>
      <c r="Q63">
        <v>42</v>
      </c>
      <c r="R63" t="s">
        <v>485</v>
      </c>
      <c r="S63" t="s">
        <v>182</v>
      </c>
      <c r="T63">
        <v>29</v>
      </c>
      <c r="U63">
        <v>0</v>
      </c>
      <c r="W63">
        <v>17</v>
      </c>
      <c r="X63">
        <v>12</v>
      </c>
      <c r="Y63">
        <v>0</v>
      </c>
      <c r="Z63">
        <v>0</v>
      </c>
      <c r="AA63">
        <v>29</v>
      </c>
      <c r="AG63">
        <v>20</v>
      </c>
      <c r="AH63">
        <v>9</v>
      </c>
      <c r="AO63">
        <v>29</v>
      </c>
      <c r="AQ63">
        <v>16</v>
      </c>
      <c r="AR63">
        <v>12</v>
      </c>
      <c r="AU63">
        <v>1</v>
      </c>
      <c r="AV63">
        <v>29</v>
      </c>
      <c r="AX63" t="s">
        <v>499</v>
      </c>
      <c r="AY63" t="s">
        <v>500</v>
      </c>
      <c r="BA63">
        <v>11</v>
      </c>
      <c r="BI63">
        <v>1</v>
      </c>
      <c r="BV63">
        <v>1</v>
      </c>
      <c r="BW63">
        <v>1</v>
      </c>
      <c r="BX63">
        <v>1</v>
      </c>
      <c r="BZ63">
        <v>1</v>
      </c>
      <c r="DB63">
        <v>3</v>
      </c>
      <c r="DC63">
        <v>1</v>
      </c>
      <c r="FP63">
        <v>2</v>
      </c>
    </row>
    <row r="65" spans="1:200">
      <c r="B65" s="43">
        <v>45809</v>
      </c>
    </row>
    <row r="67" spans="1:200">
      <c r="A67" s="24">
        <v>48</v>
      </c>
      <c r="B67" t="s">
        <v>504</v>
      </c>
      <c r="C67" t="s">
        <v>505</v>
      </c>
      <c r="D67" t="s">
        <v>506</v>
      </c>
      <c r="E67">
        <v>2</v>
      </c>
      <c r="F67">
        <v>2</v>
      </c>
      <c r="G67">
        <v>0</v>
      </c>
      <c r="H67">
        <v>0</v>
      </c>
      <c r="I67">
        <v>0</v>
      </c>
      <c r="K67">
        <v>2</v>
      </c>
      <c r="L67">
        <v>60</v>
      </c>
      <c r="N67">
        <v>32</v>
      </c>
      <c r="O67">
        <v>28</v>
      </c>
      <c r="P67">
        <v>0</v>
      </c>
      <c r="Q67">
        <v>60</v>
      </c>
      <c r="R67" t="s">
        <v>507</v>
      </c>
      <c r="S67" t="s">
        <v>508</v>
      </c>
    </row>
    <row r="68" spans="1:200">
      <c r="A68" s="24">
        <v>49</v>
      </c>
      <c r="B68" t="s">
        <v>509</v>
      </c>
      <c r="C68" t="s">
        <v>510</v>
      </c>
      <c r="D68" t="s">
        <v>511</v>
      </c>
      <c r="E68">
        <v>1</v>
      </c>
      <c r="F68">
        <v>1</v>
      </c>
      <c r="G68">
        <v>0</v>
      </c>
      <c r="H68">
        <v>0</v>
      </c>
      <c r="I68">
        <v>0</v>
      </c>
      <c r="K68">
        <v>1</v>
      </c>
      <c r="L68">
        <v>44</v>
      </c>
      <c r="N68">
        <v>21</v>
      </c>
      <c r="O68">
        <v>23</v>
      </c>
      <c r="P68">
        <v>0</v>
      </c>
      <c r="Q68">
        <v>44</v>
      </c>
      <c r="R68" t="s">
        <v>507</v>
      </c>
      <c r="S68" t="s">
        <v>508</v>
      </c>
    </row>
    <row r="77" spans="1:200" ht="17" thickBot="1">
      <c r="D77" s="26"/>
      <c r="E77" s="26">
        <f>SUM(E5:E76)</f>
        <v>90</v>
      </c>
      <c r="F77" s="26">
        <f>SUM(F3:F76)</f>
        <v>77</v>
      </c>
      <c r="G77" s="26">
        <f>SUM(G5:G76)</f>
        <v>5</v>
      </c>
      <c r="H77" s="26">
        <f>SUM(H4:H76)</f>
        <v>0</v>
      </c>
      <c r="I77" s="26">
        <f>SUM(I4:I33)</f>
        <v>0</v>
      </c>
      <c r="J77" s="26">
        <f>SUM(J4:J33)</f>
        <v>0</v>
      </c>
      <c r="K77" s="26">
        <f>SUM(K5:K76)</f>
        <v>90</v>
      </c>
      <c r="L77" s="26">
        <f>SUM(L5:L76)</f>
        <v>2613</v>
      </c>
      <c r="M77" s="26">
        <f>SUM(M4:M33)</f>
        <v>0</v>
      </c>
      <c r="N77" s="26">
        <f>SUM(N5:N76)</f>
        <v>1718</v>
      </c>
      <c r="O77" s="26">
        <f>SUM(O5:O76)</f>
        <v>895</v>
      </c>
      <c r="P77" s="26">
        <f>SUM(P4:P76)</f>
        <v>0</v>
      </c>
      <c r="Q77" s="26">
        <f>SUM(Q5:Q76)</f>
        <v>2613</v>
      </c>
      <c r="R77" s="26">
        <f>SUM(R4:R33)</f>
        <v>0</v>
      </c>
      <c r="S77" s="26">
        <f>SUM(S4:S33)</f>
        <v>0</v>
      </c>
      <c r="T77" s="26">
        <f>SUM(T5:T76)</f>
        <v>1756</v>
      </c>
      <c r="U77" s="26">
        <f>SUM(U5:U76)</f>
        <v>57</v>
      </c>
      <c r="V77" s="26">
        <f>SUM(V4:V33)</f>
        <v>0</v>
      </c>
      <c r="W77" s="26">
        <f>SUM(W5:W76)</f>
        <v>1186</v>
      </c>
      <c r="X77" s="26">
        <f>SUM(X5:X76)</f>
        <v>626</v>
      </c>
      <c r="Y77" s="26">
        <f>SUM(Y4:Y76)</f>
        <v>10</v>
      </c>
      <c r="Z77" s="26">
        <f>SUM(Z4:Z76)</f>
        <v>5</v>
      </c>
      <c r="AA77" s="26">
        <f>SUM(AA5:AA76)</f>
        <v>1804</v>
      </c>
      <c r="AB77" s="26">
        <f>SUM(AB4:AB33)</f>
        <v>0</v>
      </c>
      <c r="AC77" s="26">
        <f>SUM(AC7:AC76)</f>
        <v>31</v>
      </c>
      <c r="AD77" s="26">
        <f>SUM(AD5:AD76)</f>
        <v>2</v>
      </c>
      <c r="AE77" s="26">
        <f>SUM(AE4:AE76)</f>
        <v>24</v>
      </c>
      <c r="AF77" s="26">
        <f>SUM(AF3:AF76)</f>
        <v>105</v>
      </c>
      <c r="AG77" s="26">
        <f>SUM(AG5:AG76)</f>
        <v>378</v>
      </c>
      <c r="AH77" s="26">
        <f>SUM(AH5:AH76)</f>
        <v>407</v>
      </c>
      <c r="AI77" s="26">
        <f>SUM(AI5:AI76)</f>
        <v>490</v>
      </c>
      <c r="AJ77" s="26">
        <f>SUM(AJ5:AJ76)</f>
        <v>262</v>
      </c>
      <c r="AK77" s="26">
        <f>SUM(AK4:AK76)</f>
        <v>36</v>
      </c>
      <c r="AL77" s="26">
        <f>SUM(AL4:AL76)</f>
        <v>92</v>
      </c>
      <c r="AM77" s="26">
        <f>SUM(AM4:AM76)</f>
        <v>5</v>
      </c>
      <c r="AN77" s="26">
        <f>SUM(AN4:AN76)</f>
        <v>0</v>
      </c>
      <c r="AO77" s="26">
        <f>SUM(AO5:AO76)</f>
        <v>1811</v>
      </c>
      <c r="AP77" s="26">
        <f>SUM(AP4:AP33)</f>
        <v>0</v>
      </c>
      <c r="AQ77" s="26">
        <f t="shared" ref="AQ77:AV77" si="0">SUM(AQ5:AQ76)</f>
        <v>767</v>
      </c>
      <c r="AR77" s="26">
        <f t="shared" si="0"/>
        <v>739</v>
      </c>
      <c r="AS77" s="26">
        <f t="shared" si="0"/>
        <v>246</v>
      </c>
      <c r="AT77" s="26">
        <f t="shared" si="0"/>
        <v>27</v>
      </c>
      <c r="AU77" s="26">
        <f t="shared" si="0"/>
        <v>30</v>
      </c>
      <c r="AV77" s="26">
        <f t="shared" si="0"/>
        <v>1688</v>
      </c>
      <c r="AW77" s="26">
        <f>SUM(AW4:AW33)</f>
        <v>0</v>
      </c>
      <c r="AX77" s="26">
        <f>SUM(AX4:AX33)</f>
        <v>0</v>
      </c>
      <c r="AY77" s="26">
        <f>SUM(AY4:AY33)</f>
        <v>0</v>
      </c>
      <c r="AZ77" s="26">
        <f>SUM(AZ4:AZ33)</f>
        <v>0</v>
      </c>
      <c r="BA77" s="26">
        <f>SUM(BA5:BA76)</f>
        <v>1826</v>
      </c>
      <c r="BB77" s="26">
        <f>SUM(BB4:BB57)</f>
        <v>3</v>
      </c>
      <c r="BC77" s="26">
        <f>SUM(BC3:BC54)</f>
        <v>2</v>
      </c>
      <c r="BD77" s="26">
        <f>SUM(BD5:BD76)</f>
        <v>28</v>
      </c>
      <c r="BE77" s="26">
        <f>SUM(BE2:BE57)</f>
        <v>0</v>
      </c>
      <c r="BF77" s="26">
        <f>SUM(BF2:BF57)</f>
        <v>1</v>
      </c>
      <c r="BG77" s="26">
        <f>SUM(BG5:BG57)</f>
        <v>0</v>
      </c>
      <c r="BH77" s="26">
        <f>SUM(BH5:BH57)</f>
        <v>12</v>
      </c>
      <c r="BI77" s="26">
        <f>SUM(BI4:BI76)</f>
        <v>5</v>
      </c>
      <c r="BJ77" s="26">
        <f>SUM(BJ4:BJ57)</f>
        <v>2</v>
      </c>
      <c r="BK77" s="26">
        <f>SUM(BK4:BK57)</f>
        <v>1</v>
      </c>
      <c r="BL77" s="26">
        <f>SUM(BL4:BL76)</f>
        <v>21</v>
      </c>
      <c r="BM77" s="26">
        <f>SUM(BM4:BM76)</f>
        <v>2</v>
      </c>
      <c r="BN77" s="26">
        <f>SUM(BN4:BN57)</f>
        <v>2</v>
      </c>
      <c r="BO77" s="26">
        <f>SUM(BO4:BO76)</f>
        <v>16</v>
      </c>
      <c r="BP77" s="26">
        <f>SUM(BP4:BP57)</f>
        <v>3</v>
      </c>
      <c r="BQ77" s="26">
        <f>SUM(BQ4:BQ57)</f>
        <v>7</v>
      </c>
      <c r="BR77" s="26">
        <f>SUM(BR4:BR57)</f>
        <v>0</v>
      </c>
      <c r="BS77" s="26">
        <f>SUM(BS4:BS76)</f>
        <v>41</v>
      </c>
      <c r="BT77" s="26">
        <f>SUM(BT4:BT76)</f>
        <v>19</v>
      </c>
      <c r="BU77" s="26">
        <f>SUM(BU4:BU57)</f>
        <v>2</v>
      </c>
      <c r="BV77" s="26">
        <f>SUM(BV4:BV76)</f>
        <v>4</v>
      </c>
      <c r="BW77" s="26">
        <f>SUM(BW6:BW76)</f>
        <v>17</v>
      </c>
      <c r="BX77" s="26">
        <f>SUM(BX4:BX76)</f>
        <v>3</v>
      </c>
      <c r="BY77" s="26">
        <f>SUM(BY4:BY57)</f>
        <v>3</v>
      </c>
      <c r="BZ77" s="26">
        <f>SUM(BZ4:BZ76)</f>
        <v>3</v>
      </c>
      <c r="CA77" s="26">
        <f>SUM(CA4:CA57)</f>
        <v>0</v>
      </c>
      <c r="CB77" s="26">
        <f>SUM(CB4:CB33)</f>
        <v>1</v>
      </c>
      <c r="CC77" s="26">
        <f>SUM(CC4:CC76)</f>
        <v>1</v>
      </c>
      <c r="CD77" s="26">
        <f>SUM(CD4:CD76)</f>
        <v>1</v>
      </c>
      <c r="CE77" s="26">
        <f>SUM(CE4:CE76)</f>
        <v>2</v>
      </c>
      <c r="CF77" s="26">
        <f>SUM(CF4:CF57)</f>
        <v>10</v>
      </c>
      <c r="CG77" s="26">
        <f>SUM(CG4:CG76)</f>
        <v>6</v>
      </c>
      <c r="CH77" s="26">
        <f>SUM(CH4:CH33)</f>
        <v>1</v>
      </c>
      <c r="CI77" s="26">
        <f>SUM(CI4:CI33)</f>
        <v>1</v>
      </c>
      <c r="CJ77" s="26">
        <f t="shared" ref="CJ77:CP77" si="1">SUM(CJ4:CJ57)</f>
        <v>0</v>
      </c>
      <c r="CK77" s="26">
        <f t="shared" si="1"/>
        <v>1</v>
      </c>
      <c r="CL77" s="26">
        <f>SUM(CL4:CL76)</f>
        <v>4</v>
      </c>
      <c r="CM77" s="26">
        <f t="shared" si="1"/>
        <v>1</v>
      </c>
      <c r="CN77" s="26">
        <f t="shared" si="1"/>
        <v>0</v>
      </c>
      <c r="CO77" s="26">
        <f t="shared" si="1"/>
        <v>0</v>
      </c>
      <c r="CP77" s="26">
        <f t="shared" si="1"/>
        <v>0</v>
      </c>
      <c r="CQ77" s="26">
        <f>SUM(CQ4:CQ76)</f>
        <v>1</v>
      </c>
      <c r="CR77" s="26">
        <f>SUM(CR4:CR57)</f>
        <v>1</v>
      </c>
      <c r="CS77" s="26">
        <f>SUM(CS4:CS57)</f>
        <v>0</v>
      </c>
      <c r="CT77" s="26">
        <f>SUM(CT4:CT57)</f>
        <v>1</v>
      </c>
      <c r="CU77" s="26">
        <f>SUM(CU4:CU57)</f>
        <v>0</v>
      </c>
      <c r="CV77" s="44">
        <f>SUM(CV5:CV57)</f>
        <v>0</v>
      </c>
      <c r="CW77" s="26">
        <f>SUM(CW5:CW76)</f>
        <v>21</v>
      </c>
      <c r="CX77" s="26">
        <f>SUM(CX4:CX76)</f>
        <v>4</v>
      </c>
      <c r="CY77" s="26">
        <f>SUM(CY4:CY76)</f>
        <v>12</v>
      </c>
      <c r="CZ77" s="26">
        <f>SUM(CZ4:CZ57)</f>
        <v>0</v>
      </c>
      <c r="DA77" s="26">
        <f>SUM(DA4:DA57)</f>
        <v>1</v>
      </c>
      <c r="DB77" s="26">
        <f>SUM(DB4:DB76)</f>
        <v>12</v>
      </c>
      <c r="DC77" s="26">
        <f>SUM(DC4:DC76)</f>
        <v>6</v>
      </c>
      <c r="DD77" s="26">
        <f>SUM(DD4:DD57)</f>
        <v>0</v>
      </c>
      <c r="DE77" s="26">
        <f>SUM(DE4:DE54)</f>
        <v>3</v>
      </c>
      <c r="DF77" s="26">
        <f>SUM(DF4:DF76)</f>
        <v>1</v>
      </c>
      <c r="DG77" s="26">
        <f>SUM(DG4:DG76)</f>
        <v>2</v>
      </c>
      <c r="DH77" s="26">
        <f>SUM(DH4:DH76)</f>
        <v>4</v>
      </c>
      <c r="DI77" s="26">
        <f>SUM(DI4:DI57)</f>
        <v>0</v>
      </c>
      <c r="DJ77" s="26">
        <f>SUM(DJ4:DJ57)</f>
        <v>0</v>
      </c>
      <c r="DK77" s="26">
        <f>SUM(DK4:DK76)</f>
        <v>1</v>
      </c>
      <c r="DL77" s="26">
        <f>SUM(DL4:DL57)</f>
        <v>0</v>
      </c>
      <c r="DM77" s="26">
        <f>SUM(DM4:DM76)</f>
        <v>9</v>
      </c>
      <c r="DN77" s="26">
        <f>SUM(DN4:DN57)</f>
        <v>1</v>
      </c>
      <c r="DO77" s="26">
        <f>SUM(DO4:DO57)</f>
        <v>2</v>
      </c>
      <c r="DP77" s="26">
        <f>SUM(DP4:DP57)</f>
        <v>0</v>
      </c>
      <c r="DQ77" s="26">
        <f>SUM(DQ4:DQ33)</f>
        <v>0</v>
      </c>
      <c r="DR77" s="26">
        <f>SUM(DR4:DR57)</f>
        <v>5</v>
      </c>
      <c r="DS77" s="26">
        <f>SUM(DS4:DS33)</f>
        <v>0</v>
      </c>
      <c r="DT77" s="26">
        <f>SUM(DT4:DT76)</f>
        <v>4</v>
      </c>
      <c r="DU77" s="26">
        <f>SUM(DU4:DU57)</f>
        <v>2</v>
      </c>
      <c r="DV77" s="26">
        <f t="shared" ref="DV77:EG77" si="2">SUM(DV4:DV33)</f>
        <v>0</v>
      </c>
      <c r="DW77" s="26">
        <f t="shared" si="2"/>
        <v>0</v>
      </c>
      <c r="DX77" s="26">
        <f t="shared" si="2"/>
        <v>0</v>
      </c>
      <c r="DY77" s="26">
        <f t="shared" si="2"/>
        <v>0</v>
      </c>
      <c r="DZ77" s="26">
        <f t="shared" si="2"/>
        <v>0</v>
      </c>
      <c r="EA77" s="26">
        <f t="shared" si="2"/>
        <v>0</v>
      </c>
      <c r="EB77" s="26">
        <f t="shared" si="2"/>
        <v>0</v>
      </c>
      <c r="EC77" s="26">
        <f t="shared" si="2"/>
        <v>0</v>
      </c>
      <c r="ED77" s="26">
        <f t="shared" si="2"/>
        <v>0</v>
      </c>
      <c r="EE77" s="26">
        <f t="shared" si="2"/>
        <v>0</v>
      </c>
      <c r="EF77" s="26">
        <f t="shared" si="2"/>
        <v>0</v>
      </c>
      <c r="EG77" s="26">
        <f t="shared" si="2"/>
        <v>0</v>
      </c>
      <c r="EH77" s="26">
        <f>SUM(EH4:EH57)</f>
        <v>1</v>
      </c>
      <c r="EI77" s="26">
        <f>SUM(EI4:EI33)</f>
        <v>0</v>
      </c>
      <c r="EJ77" s="26">
        <f>SUM(EJ4:EJ33)</f>
        <v>2</v>
      </c>
      <c r="EK77" s="26">
        <f>SUM(EK4:EK33)</f>
        <v>0</v>
      </c>
      <c r="EL77" s="26">
        <f>SUM(EL4:EL33)</f>
        <v>0</v>
      </c>
      <c r="EM77" s="26">
        <f>SUM(EM4:EM57)</f>
        <v>1</v>
      </c>
      <c r="EN77" s="26">
        <f>SUM(EN4:EN33)</f>
        <v>0</v>
      </c>
      <c r="EO77" s="26">
        <f>SUM(EO4:EO33)</f>
        <v>0</v>
      </c>
      <c r="EP77" s="26">
        <f>SUM(EP4:EP33)</f>
        <v>0</v>
      </c>
      <c r="EQ77" s="26">
        <f>SUM(EQ4:EQ33)</f>
        <v>0</v>
      </c>
      <c r="ER77" s="26">
        <f>SUM(ER4:ER57)</f>
        <v>1</v>
      </c>
      <c r="ES77" s="26">
        <f>SUM(ES4:ES33)</f>
        <v>0</v>
      </c>
      <c r="ET77" s="26">
        <f>SUM(ET4:ET33)</f>
        <v>0</v>
      </c>
      <c r="EU77" s="26">
        <f>SUM(EU4:EU57)</f>
        <v>1</v>
      </c>
      <c r="EV77" s="26">
        <f>SUM(EV4:EV33)</f>
        <v>0</v>
      </c>
      <c r="EW77" s="26">
        <f>SUM(EW4:EW76)</f>
        <v>8</v>
      </c>
      <c r="EX77" s="26">
        <f>SUM(EX4:EX33)</f>
        <v>0</v>
      </c>
      <c r="EY77" s="26">
        <f>SUM(EY4:EY33)</f>
        <v>0</v>
      </c>
      <c r="EZ77" s="26">
        <f>SUM(EZ4:EZ57)</f>
        <v>7</v>
      </c>
      <c r="FA77" s="26">
        <f>SUM(FA4:FA57)</f>
        <v>3</v>
      </c>
      <c r="FB77" s="26">
        <f>SUM(FB4:FB33)</f>
        <v>0</v>
      </c>
      <c r="FC77" s="26">
        <f>SUM(FC4:FC57)</f>
        <v>1</v>
      </c>
      <c r="FD77" s="26">
        <f>SUM(FD4:FD76)</f>
        <v>1</v>
      </c>
      <c r="FE77" s="26">
        <f>SUM(FE4:FE33)</f>
        <v>0</v>
      </c>
      <c r="FF77" s="26">
        <f>SUM(FF4:FF33)</f>
        <v>0</v>
      </c>
      <c r="FG77" s="26">
        <f>SUM(FG4:FG33)</f>
        <v>0</v>
      </c>
      <c r="FH77" s="26">
        <f>SUM(FH4:FH57)</f>
        <v>2</v>
      </c>
      <c r="FI77" s="26">
        <f>SUM(FI4:FI33)</f>
        <v>1</v>
      </c>
      <c r="FJ77" s="26">
        <f>SUM(FJ4:FJ33)</f>
        <v>0</v>
      </c>
      <c r="FK77" s="26">
        <f>SUM(FK4:FK33)</f>
        <v>0</v>
      </c>
      <c r="FL77" s="26">
        <f>SUM(FL4:FL76)</f>
        <v>5</v>
      </c>
      <c r="FM77" s="26">
        <f>SUM(FM4:FM76)</f>
        <v>18</v>
      </c>
      <c r="FN77" s="26">
        <f>SUM(FN4:FN33)</f>
        <v>0</v>
      </c>
      <c r="FO77" s="26">
        <f>SUM(FO4:FO33)</f>
        <v>0</v>
      </c>
      <c r="FP77" s="26">
        <f>SUM(FP5:FP76)</f>
        <v>46</v>
      </c>
      <c r="FQ77" s="26">
        <f>SUM(FQ4:FQ76)</f>
        <v>1</v>
      </c>
      <c r="FR77" s="26">
        <f>SUM(FR4:FR76)</f>
        <v>11</v>
      </c>
      <c r="FS77" s="26">
        <f>SUM(FS4:FS76)</f>
        <v>7</v>
      </c>
      <c r="FT77" s="26">
        <f t="shared" ref="FT77:FY77" si="3">SUM(FT4:FT33)</f>
        <v>0</v>
      </c>
      <c r="FU77" s="26">
        <f t="shared" si="3"/>
        <v>0</v>
      </c>
      <c r="FV77" s="26">
        <f t="shared" si="3"/>
        <v>1</v>
      </c>
      <c r="FW77" s="26">
        <f t="shared" si="3"/>
        <v>0</v>
      </c>
      <c r="FX77" s="26">
        <f t="shared" si="3"/>
        <v>1</v>
      </c>
      <c r="FY77" s="26">
        <f t="shared" si="3"/>
        <v>0</v>
      </c>
      <c r="FZ77" s="26">
        <f>SUM(FZ4:FZ76)</f>
        <v>7</v>
      </c>
      <c r="GA77" s="26">
        <f>SUM(GA4:GA33)</f>
        <v>0</v>
      </c>
      <c r="GB77" s="26">
        <f>SUM(GB4:GB33)</f>
        <v>5</v>
      </c>
      <c r="GC77" s="26">
        <f>SUM(GC4:GC57)</f>
        <v>2</v>
      </c>
      <c r="GD77" s="26">
        <f>SUM(GD4:GD33)</f>
        <v>0</v>
      </c>
      <c r="GE77" s="26">
        <f>SUM(GE4:GE33)</f>
        <v>0</v>
      </c>
      <c r="GF77" s="26">
        <f>SUM(GF4:GF33)</f>
        <v>0</v>
      </c>
      <c r="GG77" s="26">
        <f>SUM(GG4:GG33)</f>
        <v>0</v>
      </c>
      <c r="GH77" s="26">
        <f>SUM(GH4:GH33)</f>
        <v>0</v>
      </c>
      <c r="GI77" s="26"/>
      <c r="GJ77" s="26"/>
      <c r="GK77" s="26"/>
      <c r="GL77" s="26"/>
      <c r="GM77" s="26"/>
      <c r="GN77" s="26"/>
      <c r="GO77" s="26"/>
      <c r="GP77" s="26"/>
      <c r="GQ77" s="26"/>
      <c r="GR77" s="26">
        <f>SUM(GR17:GR76)</f>
        <v>1</v>
      </c>
    </row>
    <row r="78" spans="1:200" ht="17" thickTop="1"/>
  </sheetData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49C6-3FB7-0F42-88C1-77FF31F85155}">
  <dimension ref="A1:FN78"/>
  <sheetViews>
    <sheetView topLeftCell="A12" zoomScale="67" workbookViewId="0">
      <selection activeCell="EZ1" sqref="EZ1"/>
    </sheetView>
  </sheetViews>
  <sheetFormatPr baseColWidth="10" defaultRowHeight="16"/>
  <cols>
    <col min="1" max="1" width="14.1640625" customWidth="1"/>
    <col min="2" max="2" width="27.6640625" customWidth="1"/>
    <col min="3" max="3" width="39" customWidth="1"/>
    <col min="4" max="4" width="87.83203125" customWidth="1"/>
    <col min="5" max="5" width="68.5" customWidth="1"/>
    <col min="9" max="9" width="15.33203125" customWidth="1"/>
    <col min="87" max="87" width="16.5" customWidth="1"/>
  </cols>
  <sheetData>
    <row r="1" spans="1:157">
      <c r="A1" s="15" t="s">
        <v>1</v>
      </c>
      <c r="B1" s="7" t="s">
        <v>2</v>
      </c>
      <c r="C1" s="7" t="s">
        <v>3</v>
      </c>
      <c r="D1" s="1" t="s">
        <v>169</v>
      </c>
      <c r="E1" s="1" t="s">
        <v>170</v>
      </c>
      <c r="F1" s="15" t="s">
        <v>22</v>
      </c>
      <c r="G1" s="7" t="s">
        <v>25</v>
      </c>
      <c r="H1" s="7" t="s">
        <v>24</v>
      </c>
      <c r="I1" s="7" t="s">
        <v>23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173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48</v>
      </c>
      <c r="AH1" s="7" t="s">
        <v>49</v>
      </c>
      <c r="AI1" s="7" t="s">
        <v>50</v>
      </c>
      <c r="AJ1" s="7" t="s">
        <v>51</v>
      </c>
      <c r="AK1" s="7" t="s">
        <v>177</v>
      </c>
      <c r="AL1" s="7" t="s">
        <v>52</v>
      </c>
      <c r="AM1" s="7" t="s">
        <v>53</v>
      </c>
      <c r="AN1" s="6" t="s">
        <v>54</v>
      </c>
      <c r="AO1" s="7" t="s">
        <v>55</v>
      </c>
      <c r="AP1" s="7" t="s">
        <v>56</v>
      </c>
      <c r="AQ1" s="7" t="s">
        <v>57</v>
      </c>
      <c r="AR1" s="7" t="s">
        <v>58</v>
      </c>
      <c r="AS1" s="7" t="s">
        <v>59</v>
      </c>
      <c r="AT1" s="7" t="s">
        <v>60</v>
      </c>
      <c r="AU1" s="7" t="s">
        <v>165</v>
      </c>
      <c r="AV1" s="7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C1" s="7" t="s">
        <v>68</v>
      </c>
      <c r="BD1" s="7" t="s">
        <v>69</v>
      </c>
      <c r="BE1" s="7" t="s">
        <v>70</v>
      </c>
      <c r="BF1" s="7" t="s">
        <v>71</v>
      </c>
      <c r="BG1" s="21" t="s">
        <v>72</v>
      </c>
      <c r="BH1" s="7" t="s">
        <v>73</v>
      </c>
      <c r="BI1" s="7" t="s">
        <v>74</v>
      </c>
      <c r="BJ1" s="7" t="s">
        <v>75</v>
      </c>
      <c r="BK1" s="7" t="s">
        <v>76</v>
      </c>
      <c r="BL1" s="7" t="s">
        <v>77</v>
      </c>
      <c r="BM1" s="7" t="s">
        <v>78</v>
      </c>
      <c r="BN1" s="7" t="s">
        <v>178</v>
      </c>
      <c r="BO1" s="7" t="s">
        <v>80</v>
      </c>
      <c r="BP1" s="7" t="s">
        <v>81</v>
      </c>
      <c r="BQ1" s="7" t="s">
        <v>175</v>
      </c>
      <c r="BR1" s="7" t="s">
        <v>82</v>
      </c>
      <c r="BS1" s="7" t="s">
        <v>83</v>
      </c>
      <c r="BT1" s="7" t="s">
        <v>84</v>
      </c>
      <c r="BU1" s="7" t="s">
        <v>85</v>
      </c>
      <c r="BV1" s="7" t="s">
        <v>86</v>
      </c>
      <c r="BW1" s="7" t="s">
        <v>87</v>
      </c>
      <c r="BX1" s="21" t="s">
        <v>157</v>
      </c>
      <c r="BY1" s="7" t="s">
        <v>89</v>
      </c>
      <c r="BZ1" s="21" t="s">
        <v>90</v>
      </c>
      <c r="CA1" s="21" t="s">
        <v>91</v>
      </c>
      <c r="CB1" s="1" t="s">
        <v>92</v>
      </c>
      <c r="CC1" s="7" t="s">
        <v>93</v>
      </c>
      <c r="CD1" s="7" t="s">
        <v>94</v>
      </c>
      <c r="CE1" s="7" t="s">
        <v>95</v>
      </c>
      <c r="CF1" s="7" t="s">
        <v>96</v>
      </c>
      <c r="CG1" s="7" t="s">
        <v>97</v>
      </c>
      <c r="CH1" s="7" t="s">
        <v>98</v>
      </c>
      <c r="CI1" s="7" t="s">
        <v>166</v>
      </c>
      <c r="CJ1" s="7" t="s">
        <v>99</v>
      </c>
      <c r="CK1" s="7" t="s">
        <v>100</v>
      </c>
      <c r="CL1" s="7" t="s">
        <v>101</v>
      </c>
      <c r="CM1" s="7" t="s">
        <v>102</v>
      </c>
      <c r="CN1" s="7" t="s">
        <v>103</v>
      </c>
      <c r="CO1" s="21" t="s">
        <v>104</v>
      </c>
      <c r="CP1" s="7" t="s">
        <v>105</v>
      </c>
      <c r="CQ1" s="7" t="s">
        <v>106</v>
      </c>
      <c r="CR1" s="7" t="s">
        <v>174</v>
      </c>
      <c r="CS1" s="7" t="s">
        <v>107</v>
      </c>
      <c r="CT1" s="7" t="s">
        <v>108</v>
      </c>
      <c r="CU1" s="1" t="s">
        <v>109</v>
      </c>
      <c r="CV1" s="7" t="s">
        <v>237</v>
      </c>
      <c r="CW1" s="7" t="s">
        <v>111</v>
      </c>
      <c r="CX1" s="7" t="s">
        <v>112</v>
      </c>
      <c r="CY1" s="7" t="s">
        <v>113</v>
      </c>
      <c r="CZ1" s="7" t="s">
        <v>164</v>
      </c>
      <c r="DA1" s="7" t="s">
        <v>114</v>
      </c>
      <c r="DB1" s="7" t="s">
        <v>115</v>
      </c>
      <c r="DC1" s="7" t="s">
        <v>116</v>
      </c>
      <c r="DD1" s="1" t="s">
        <v>117</v>
      </c>
      <c r="DE1" s="7" t="s">
        <v>118</v>
      </c>
      <c r="DF1" s="21" t="s">
        <v>119</v>
      </c>
      <c r="DG1" s="21" t="s">
        <v>120</v>
      </c>
      <c r="DH1" s="7" t="s">
        <v>121</v>
      </c>
      <c r="DI1" s="21" t="s">
        <v>122</v>
      </c>
      <c r="DJ1" s="7" t="s">
        <v>123</v>
      </c>
      <c r="DK1" s="7" t="s">
        <v>124</v>
      </c>
      <c r="DL1" s="7" t="s">
        <v>126</v>
      </c>
      <c r="DM1" s="7" t="s">
        <v>125</v>
      </c>
      <c r="DN1" s="7" t="s">
        <v>127</v>
      </c>
      <c r="DO1" s="1" t="s">
        <v>128</v>
      </c>
      <c r="DP1" s="1" t="s">
        <v>129</v>
      </c>
      <c r="DQ1" s="21" t="s">
        <v>130</v>
      </c>
      <c r="DR1" s="7" t="s">
        <v>131</v>
      </c>
      <c r="DS1" s="7" t="s">
        <v>132</v>
      </c>
      <c r="DT1" s="7" t="s">
        <v>167</v>
      </c>
      <c r="DU1" s="21" t="s">
        <v>133</v>
      </c>
      <c r="DV1" s="7" t="s">
        <v>134</v>
      </c>
      <c r="DW1" s="7" t="s">
        <v>135</v>
      </c>
      <c r="DX1" s="7" t="s">
        <v>136</v>
      </c>
      <c r="DY1" s="7" t="s">
        <v>205</v>
      </c>
      <c r="DZ1" s="7" t="s">
        <v>137</v>
      </c>
      <c r="EA1" s="7" t="s">
        <v>138</v>
      </c>
      <c r="EB1" s="21" t="s">
        <v>139</v>
      </c>
      <c r="EC1" s="7" t="s">
        <v>158</v>
      </c>
      <c r="ED1" s="7" t="s">
        <v>141</v>
      </c>
      <c r="EE1" s="7" t="s">
        <v>168</v>
      </c>
      <c r="EF1" s="21" t="s">
        <v>142</v>
      </c>
      <c r="EG1" s="7" t="s">
        <v>143</v>
      </c>
      <c r="EH1" s="21" t="s">
        <v>144</v>
      </c>
      <c r="EI1" s="21" t="s">
        <v>145</v>
      </c>
      <c r="EJ1" s="7" t="s">
        <v>146</v>
      </c>
      <c r="EK1" s="7" t="s">
        <v>147</v>
      </c>
      <c r="EL1" s="7" t="s">
        <v>148</v>
      </c>
      <c r="EM1" s="7" t="s">
        <v>149</v>
      </c>
      <c r="EN1" s="8" t="s">
        <v>150</v>
      </c>
      <c r="EO1" s="34" t="s">
        <v>197</v>
      </c>
      <c r="EP1" s="15" t="s">
        <v>249</v>
      </c>
      <c r="EQ1" s="34" t="s">
        <v>250</v>
      </c>
      <c r="ER1" s="12" t="s">
        <v>204</v>
      </c>
      <c r="ES1" s="35" t="s">
        <v>227</v>
      </c>
      <c r="ET1" s="35" t="s">
        <v>185</v>
      </c>
      <c r="EU1" s="8" t="s">
        <v>258</v>
      </c>
      <c r="EV1" s="15" t="s">
        <v>273</v>
      </c>
      <c r="EX1" s="15" t="s">
        <v>291</v>
      </c>
      <c r="EY1" s="15" t="s">
        <v>365</v>
      </c>
      <c r="EZ1" s="34" t="s">
        <v>392</v>
      </c>
      <c r="FA1" s="34" t="s">
        <v>503</v>
      </c>
    </row>
    <row r="3" spans="1:157">
      <c r="A3" s="9">
        <v>45658</v>
      </c>
      <c r="B3" s="10"/>
      <c r="C3" s="5"/>
    </row>
    <row r="5" spans="1:157">
      <c r="A5" s="30" t="s">
        <v>179</v>
      </c>
      <c r="B5" t="s">
        <v>180</v>
      </c>
      <c r="C5" t="s">
        <v>186</v>
      </c>
      <c r="D5" t="s">
        <v>187</v>
      </c>
      <c r="E5" t="s">
        <v>188</v>
      </c>
      <c r="G5">
        <v>8</v>
      </c>
      <c r="M5">
        <v>9</v>
      </c>
      <c r="Q5">
        <v>4</v>
      </c>
      <c r="V5">
        <v>3</v>
      </c>
      <c r="X5">
        <v>2</v>
      </c>
      <c r="AK5">
        <v>2</v>
      </c>
      <c r="AP5">
        <v>2</v>
      </c>
      <c r="AQ5">
        <v>1</v>
      </c>
      <c r="AW5">
        <v>1</v>
      </c>
      <c r="BB5">
        <v>2</v>
      </c>
      <c r="DH5">
        <v>1</v>
      </c>
      <c r="DJ5">
        <v>1</v>
      </c>
      <c r="DP5">
        <v>1</v>
      </c>
      <c r="DV5">
        <v>1</v>
      </c>
      <c r="DW5">
        <v>1</v>
      </c>
      <c r="EF5">
        <v>1</v>
      </c>
    </row>
    <row r="6" spans="1:157">
      <c r="A6" t="s">
        <v>190</v>
      </c>
      <c r="B6" t="s">
        <v>191</v>
      </c>
      <c r="C6" t="s">
        <v>192</v>
      </c>
      <c r="D6" t="s">
        <v>206</v>
      </c>
      <c r="E6" t="s">
        <v>196</v>
      </c>
      <c r="G6">
        <v>10</v>
      </c>
      <c r="M6">
        <v>11</v>
      </c>
      <c r="N6">
        <v>1</v>
      </c>
      <c r="O6">
        <v>1</v>
      </c>
      <c r="Q6">
        <v>1</v>
      </c>
      <c r="V6">
        <v>6</v>
      </c>
      <c r="X6">
        <v>1</v>
      </c>
      <c r="AD6">
        <v>1</v>
      </c>
      <c r="AK6">
        <v>2</v>
      </c>
      <c r="AP6">
        <v>5</v>
      </c>
      <c r="BF6">
        <v>1</v>
      </c>
      <c r="BG6">
        <v>2</v>
      </c>
      <c r="BJ6">
        <v>1</v>
      </c>
      <c r="BO6">
        <v>1</v>
      </c>
      <c r="BT6">
        <v>1</v>
      </c>
      <c r="BX6">
        <v>1</v>
      </c>
      <c r="DS6">
        <v>1</v>
      </c>
      <c r="DV6">
        <v>1</v>
      </c>
      <c r="DX6">
        <v>7</v>
      </c>
      <c r="ED6">
        <v>1</v>
      </c>
      <c r="EO6">
        <v>1</v>
      </c>
    </row>
    <row r="7" spans="1:157">
      <c r="A7" t="s">
        <v>199</v>
      </c>
      <c r="B7" t="s">
        <v>200</v>
      </c>
      <c r="C7" t="s">
        <v>201</v>
      </c>
      <c r="D7" t="s">
        <v>208</v>
      </c>
      <c r="E7" t="s">
        <v>207</v>
      </c>
      <c r="G7">
        <v>1</v>
      </c>
      <c r="Q7">
        <v>4</v>
      </c>
      <c r="V7">
        <v>1</v>
      </c>
      <c r="AO7">
        <v>1</v>
      </c>
      <c r="AP7">
        <v>1</v>
      </c>
      <c r="AS7">
        <v>1</v>
      </c>
      <c r="BB7">
        <v>1</v>
      </c>
      <c r="BM7">
        <v>1</v>
      </c>
      <c r="DR7">
        <v>1</v>
      </c>
      <c r="DV7">
        <v>1</v>
      </c>
      <c r="DX7">
        <v>1</v>
      </c>
    </row>
    <row r="8" spans="1:157">
      <c r="A8" s="28" t="s">
        <v>210</v>
      </c>
      <c r="B8" s="23" t="s">
        <v>200</v>
      </c>
      <c r="C8" s="23" t="s">
        <v>201</v>
      </c>
      <c r="D8" t="s">
        <v>214</v>
      </c>
      <c r="E8" t="s">
        <v>215</v>
      </c>
      <c r="G8">
        <v>1</v>
      </c>
      <c r="Q8">
        <v>2</v>
      </c>
      <c r="X8">
        <v>2</v>
      </c>
      <c r="AB8">
        <v>2</v>
      </c>
      <c r="AO8">
        <v>1</v>
      </c>
      <c r="BC8">
        <v>1</v>
      </c>
      <c r="BD8">
        <v>1</v>
      </c>
      <c r="BM8">
        <v>1</v>
      </c>
      <c r="BS8">
        <v>1</v>
      </c>
      <c r="CG8">
        <v>1</v>
      </c>
      <c r="CS8">
        <v>1</v>
      </c>
      <c r="DR8">
        <v>2</v>
      </c>
      <c r="DS8">
        <v>1</v>
      </c>
      <c r="DV8">
        <v>2</v>
      </c>
      <c r="DX8">
        <v>1</v>
      </c>
      <c r="DY8">
        <v>2</v>
      </c>
      <c r="EF8">
        <v>1</v>
      </c>
    </row>
    <row r="9" spans="1:157">
      <c r="A9" s="23" t="s">
        <v>216</v>
      </c>
      <c r="B9" s="23" t="s">
        <v>217</v>
      </c>
      <c r="C9" s="23" t="s">
        <v>218</v>
      </c>
      <c r="D9" s="23" t="s">
        <v>222</v>
      </c>
      <c r="E9" s="23" t="s">
        <v>223</v>
      </c>
      <c r="G9">
        <v>2</v>
      </c>
      <c r="J9">
        <v>1</v>
      </c>
      <c r="O9">
        <v>1</v>
      </c>
      <c r="R9">
        <v>7</v>
      </c>
      <c r="T9">
        <v>1</v>
      </c>
      <c r="AA9">
        <v>1</v>
      </c>
      <c r="AB9">
        <v>1</v>
      </c>
      <c r="AF9">
        <v>1</v>
      </c>
      <c r="DR9">
        <v>1</v>
      </c>
      <c r="DS9">
        <v>3</v>
      </c>
      <c r="DV9">
        <v>1</v>
      </c>
      <c r="EH9">
        <v>1</v>
      </c>
      <c r="EI9">
        <v>2</v>
      </c>
    </row>
    <row r="10" spans="1:157">
      <c r="A10" s="23" t="s">
        <v>224</v>
      </c>
      <c r="B10" s="23" t="s">
        <v>217</v>
      </c>
      <c r="C10" s="23" t="s">
        <v>218</v>
      </c>
      <c r="D10" s="23" t="s">
        <v>228</v>
      </c>
      <c r="E10" s="23" t="s">
        <v>229</v>
      </c>
      <c r="M10">
        <v>1</v>
      </c>
      <c r="Q10">
        <v>7</v>
      </c>
      <c r="AB10">
        <v>1</v>
      </c>
      <c r="AD10">
        <v>1</v>
      </c>
      <c r="AE10">
        <v>1</v>
      </c>
      <c r="AP10">
        <v>1</v>
      </c>
      <c r="AR10">
        <v>1</v>
      </c>
      <c r="AY10">
        <v>1</v>
      </c>
      <c r="BA10">
        <v>1</v>
      </c>
      <c r="DF10">
        <v>2</v>
      </c>
      <c r="DR10">
        <v>3</v>
      </c>
      <c r="DS10">
        <v>1</v>
      </c>
      <c r="EH10">
        <v>2</v>
      </c>
    </row>
    <row r="11" spans="1:157">
      <c r="A11" t="s">
        <v>231</v>
      </c>
      <c r="B11" t="s">
        <v>232</v>
      </c>
      <c r="C11" t="s">
        <v>233</v>
      </c>
      <c r="D11" t="s">
        <v>243</v>
      </c>
      <c r="E11" t="s">
        <v>236</v>
      </c>
      <c r="G11">
        <v>2</v>
      </c>
      <c r="H11">
        <v>1</v>
      </c>
      <c r="K11">
        <v>1</v>
      </c>
      <c r="M11">
        <v>1</v>
      </c>
      <c r="Q11">
        <v>1</v>
      </c>
      <c r="X11">
        <v>2</v>
      </c>
      <c r="AD11">
        <v>1</v>
      </c>
      <c r="AK11">
        <v>1</v>
      </c>
      <c r="AM11">
        <v>1</v>
      </c>
      <c r="BB11">
        <v>1</v>
      </c>
      <c r="CV11">
        <v>1</v>
      </c>
      <c r="DR11">
        <v>1</v>
      </c>
    </row>
    <row r="12" spans="1:157">
      <c r="A12" s="23" t="s">
        <v>240</v>
      </c>
      <c r="B12" s="23" t="s">
        <v>232</v>
      </c>
      <c r="C12" s="23" t="s">
        <v>233</v>
      </c>
      <c r="D12" s="23" t="s">
        <v>247</v>
      </c>
      <c r="E12" s="23" t="s">
        <v>248</v>
      </c>
      <c r="G12">
        <v>5</v>
      </c>
      <c r="M12">
        <v>1</v>
      </c>
      <c r="T12">
        <v>2</v>
      </c>
      <c r="V12">
        <v>1</v>
      </c>
      <c r="X12">
        <v>6</v>
      </c>
      <c r="AB12">
        <v>1</v>
      </c>
      <c r="AC12">
        <v>2</v>
      </c>
      <c r="AD12">
        <v>1</v>
      </c>
      <c r="AK12">
        <v>3</v>
      </c>
      <c r="AM12">
        <v>1</v>
      </c>
      <c r="AY12">
        <v>1</v>
      </c>
      <c r="BB12">
        <v>4</v>
      </c>
      <c r="BC12">
        <v>3</v>
      </c>
      <c r="BS12">
        <v>2</v>
      </c>
      <c r="BY12">
        <v>1</v>
      </c>
      <c r="DF12">
        <v>2</v>
      </c>
      <c r="DR12">
        <v>1</v>
      </c>
      <c r="DV12">
        <v>1</v>
      </c>
      <c r="EF12">
        <v>1</v>
      </c>
      <c r="EI12">
        <v>1</v>
      </c>
      <c r="EP12">
        <v>1</v>
      </c>
      <c r="EQ12">
        <v>1</v>
      </c>
    </row>
    <row r="13" spans="1:157">
      <c r="A13" t="s">
        <v>251</v>
      </c>
      <c r="B13" t="s">
        <v>252</v>
      </c>
      <c r="C13" t="s">
        <v>253</v>
      </c>
      <c r="D13" s="23" t="s">
        <v>256</v>
      </c>
      <c r="E13" s="23" t="s">
        <v>257</v>
      </c>
      <c r="G13">
        <v>6</v>
      </c>
      <c r="M13">
        <v>3</v>
      </c>
      <c r="O13">
        <v>2</v>
      </c>
      <c r="Q13">
        <v>1</v>
      </c>
      <c r="V13">
        <v>3</v>
      </c>
      <c r="X13">
        <v>3</v>
      </c>
      <c r="AB13">
        <v>2</v>
      </c>
      <c r="AK13">
        <v>2</v>
      </c>
      <c r="BB13">
        <v>2</v>
      </c>
      <c r="BG13">
        <v>1</v>
      </c>
      <c r="CA13">
        <v>1</v>
      </c>
      <c r="CX13">
        <v>1</v>
      </c>
      <c r="DB13">
        <v>1</v>
      </c>
      <c r="DS13">
        <v>2</v>
      </c>
      <c r="DV13">
        <v>1</v>
      </c>
      <c r="DX13">
        <v>1</v>
      </c>
      <c r="DY13">
        <v>1</v>
      </c>
      <c r="EU13">
        <v>1</v>
      </c>
    </row>
    <row r="14" spans="1:157">
      <c r="A14" t="s">
        <v>259</v>
      </c>
      <c r="B14" t="s">
        <v>252</v>
      </c>
      <c r="C14" t="s">
        <v>253</v>
      </c>
      <c r="D14" s="23" t="s">
        <v>263</v>
      </c>
      <c r="E14" s="23" t="s">
        <v>264</v>
      </c>
      <c r="F14">
        <v>1</v>
      </c>
      <c r="G14">
        <v>3</v>
      </c>
      <c r="I14">
        <v>1</v>
      </c>
      <c r="J14">
        <v>2</v>
      </c>
      <c r="M14">
        <v>4</v>
      </c>
      <c r="Q14">
        <v>3</v>
      </c>
      <c r="V14">
        <v>3</v>
      </c>
      <c r="X14">
        <v>3</v>
      </c>
      <c r="AC14">
        <v>1</v>
      </c>
      <c r="AH14">
        <v>1</v>
      </c>
      <c r="AK14">
        <v>2</v>
      </c>
      <c r="AP14">
        <v>1</v>
      </c>
      <c r="BB14">
        <v>2</v>
      </c>
      <c r="BS14">
        <v>2</v>
      </c>
      <c r="DB14">
        <v>1</v>
      </c>
      <c r="DR14">
        <v>1</v>
      </c>
    </row>
    <row r="16" spans="1:157">
      <c r="A16" s="22">
        <v>45689</v>
      </c>
    </row>
    <row r="18" spans="1:152">
      <c r="A18" t="s">
        <v>266</v>
      </c>
      <c r="B18" t="s">
        <v>267</v>
      </c>
      <c r="C18" t="s">
        <v>268</v>
      </c>
      <c r="D18" t="s">
        <v>271</v>
      </c>
      <c r="E18" t="s">
        <v>272</v>
      </c>
      <c r="G18">
        <v>5</v>
      </c>
      <c r="M18">
        <v>1</v>
      </c>
      <c r="N18">
        <v>3</v>
      </c>
      <c r="Q18">
        <v>3</v>
      </c>
      <c r="AB18">
        <v>1</v>
      </c>
      <c r="AC18">
        <v>1</v>
      </c>
      <c r="AK18">
        <v>1</v>
      </c>
      <c r="BB18">
        <v>1</v>
      </c>
      <c r="BH18">
        <v>1</v>
      </c>
      <c r="BO18">
        <v>3</v>
      </c>
      <c r="DV18">
        <v>3</v>
      </c>
      <c r="EF18">
        <v>1</v>
      </c>
      <c r="EV18">
        <v>1</v>
      </c>
    </row>
    <row r="19" spans="1:152">
      <c r="A19" t="s">
        <v>274</v>
      </c>
      <c r="B19" t="s">
        <v>275</v>
      </c>
      <c r="C19" t="s">
        <v>276</v>
      </c>
      <c r="D19" t="s">
        <v>280</v>
      </c>
      <c r="E19" t="s">
        <v>281</v>
      </c>
      <c r="F19">
        <v>4</v>
      </c>
      <c r="J19">
        <v>1</v>
      </c>
      <c r="O19">
        <v>1</v>
      </c>
      <c r="Q19">
        <v>5</v>
      </c>
      <c r="X19">
        <v>2</v>
      </c>
      <c r="BB19">
        <v>3</v>
      </c>
      <c r="BD19">
        <v>2</v>
      </c>
      <c r="BG19">
        <v>3</v>
      </c>
      <c r="BH19">
        <v>1</v>
      </c>
      <c r="BS19">
        <v>1</v>
      </c>
      <c r="DC19">
        <v>1</v>
      </c>
      <c r="DF19">
        <v>1</v>
      </c>
      <c r="DX19">
        <v>1</v>
      </c>
      <c r="EA19">
        <v>1</v>
      </c>
    </row>
    <row r="20" spans="1:152">
      <c r="A20" t="s">
        <v>286</v>
      </c>
      <c r="B20" t="s">
        <v>287</v>
      </c>
      <c r="C20" t="s">
        <v>288</v>
      </c>
      <c r="D20" s="19" t="s">
        <v>293</v>
      </c>
      <c r="E20" t="s">
        <v>292</v>
      </c>
      <c r="G20">
        <v>12</v>
      </c>
      <c r="J20">
        <v>1</v>
      </c>
      <c r="Q20">
        <v>3</v>
      </c>
      <c r="T20">
        <v>1</v>
      </c>
      <c r="V20">
        <v>1</v>
      </c>
      <c r="X20">
        <v>1</v>
      </c>
      <c r="AA20">
        <v>1</v>
      </c>
      <c r="AC20">
        <v>2</v>
      </c>
      <c r="AE20">
        <v>1</v>
      </c>
      <c r="AF20">
        <v>1</v>
      </c>
      <c r="AM20">
        <v>1</v>
      </c>
      <c r="AP20">
        <v>2</v>
      </c>
      <c r="AS20">
        <v>1</v>
      </c>
      <c r="BH20">
        <v>1</v>
      </c>
      <c r="BJ20">
        <v>1</v>
      </c>
      <c r="BN20">
        <v>1</v>
      </c>
      <c r="CA20">
        <v>1</v>
      </c>
      <c r="DF20">
        <v>2</v>
      </c>
      <c r="DH20">
        <v>1</v>
      </c>
      <c r="DV20">
        <v>1</v>
      </c>
      <c r="DX20">
        <v>1</v>
      </c>
    </row>
    <row r="21" spans="1:152">
      <c r="A21" t="s">
        <v>297</v>
      </c>
      <c r="B21" t="s">
        <v>298</v>
      </c>
      <c r="C21" s="36" t="s">
        <v>299</v>
      </c>
      <c r="D21" t="s">
        <v>303</v>
      </c>
      <c r="E21" t="s">
        <v>304</v>
      </c>
      <c r="F21">
        <v>1</v>
      </c>
      <c r="G21">
        <v>4</v>
      </c>
      <c r="J21">
        <v>1</v>
      </c>
      <c r="O21">
        <v>1</v>
      </c>
      <c r="Y21">
        <v>4</v>
      </c>
      <c r="AA21">
        <v>1</v>
      </c>
      <c r="AB21">
        <v>1</v>
      </c>
      <c r="AD21">
        <v>2</v>
      </c>
      <c r="AL21">
        <v>1</v>
      </c>
      <c r="AR21">
        <v>1</v>
      </c>
      <c r="BG21">
        <v>1</v>
      </c>
      <c r="CA21">
        <v>1</v>
      </c>
      <c r="CG21">
        <v>1</v>
      </c>
      <c r="DF21">
        <v>1</v>
      </c>
      <c r="DG21">
        <v>2</v>
      </c>
      <c r="DR21">
        <v>1</v>
      </c>
      <c r="DS21">
        <v>1</v>
      </c>
    </row>
    <row r="22" spans="1:152">
      <c r="A22" t="s">
        <v>306</v>
      </c>
      <c r="B22" t="s">
        <v>307</v>
      </c>
      <c r="C22" t="s">
        <v>308</v>
      </c>
      <c r="D22" t="s">
        <v>310</v>
      </c>
      <c r="E22" t="s">
        <v>311</v>
      </c>
      <c r="Q22">
        <v>4</v>
      </c>
      <c r="V22">
        <v>1</v>
      </c>
      <c r="X22">
        <v>3</v>
      </c>
      <c r="AD22">
        <v>1</v>
      </c>
      <c r="AE22">
        <v>1</v>
      </c>
      <c r="BB22">
        <v>2</v>
      </c>
      <c r="DV22">
        <v>1</v>
      </c>
      <c r="EF22">
        <v>1</v>
      </c>
    </row>
    <row r="23" spans="1:152">
      <c r="A23" t="s">
        <v>312</v>
      </c>
      <c r="B23" t="s">
        <v>313</v>
      </c>
      <c r="C23" t="s">
        <v>314</v>
      </c>
      <c r="D23" t="s">
        <v>317</v>
      </c>
      <c r="E23" t="s">
        <v>318</v>
      </c>
      <c r="G23">
        <v>3</v>
      </c>
      <c r="X23">
        <v>4</v>
      </c>
      <c r="BJ23">
        <v>2</v>
      </c>
      <c r="DS23">
        <v>1</v>
      </c>
    </row>
    <row r="24" spans="1:152">
      <c r="A24" t="s">
        <v>320</v>
      </c>
      <c r="B24" t="s">
        <v>313</v>
      </c>
      <c r="C24" t="s">
        <v>314</v>
      </c>
    </row>
    <row r="25" spans="1:152">
      <c r="A25" t="s">
        <v>321</v>
      </c>
      <c r="B25" t="s">
        <v>322</v>
      </c>
    </row>
    <row r="26" spans="1:152" s="25" customFormat="1">
      <c r="A26" t="s">
        <v>323</v>
      </c>
      <c r="B26" t="s">
        <v>324</v>
      </c>
      <c r="C26"/>
    </row>
    <row r="27" spans="1:152">
      <c r="A27" s="28" t="s">
        <v>325</v>
      </c>
      <c r="B27" t="s">
        <v>324</v>
      </c>
    </row>
    <row r="28" spans="1:152" s="26" customFormat="1" ht="17" thickBot="1">
      <c r="A28" s="38" t="s">
        <v>326</v>
      </c>
      <c r="B28" t="s">
        <v>327</v>
      </c>
      <c r="C28" t="s">
        <v>342</v>
      </c>
      <c r="D28" s="26" t="s">
        <v>345</v>
      </c>
      <c r="Q28" s="26">
        <v>1</v>
      </c>
      <c r="T28" s="26">
        <v>1</v>
      </c>
    </row>
    <row r="29" spans="1:152" ht="17" thickTop="1">
      <c r="A29" t="s">
        <v>328</v>
      </c>
      <c r="B29" t="s">
        <v>329</v>
      </c>
      <c r="C29" t="s">
        <v>330</v>
      </c>
      <c r="D29" t="s">
        <v>349</v>
      </c>
      <c r="E29" t="s">
        <v>350</v>
      </c>
      <c r="G29">
        <v>1</v>
      </c>
      <c r="M29">
        <v>2</v>
      </c>
      <c r="N29">
        <v>1</v>
      </c>
      <c r="O29">
        <v>3</v>
      </c>
      <c r="Q29">
        <v>1</v>
      </c>
      <c r="X29">
        <v>1</v>
      </c>
      <c r="BB29">
        <v>1</v>
      </c>
      <c r="BG29">
        <v>1</v>
      </c>
      <c r="BJ29">
        <v>3</v>
      </c>
      <c r="BK29">
        <v>1</v>
      </c>
      <c r="DR29">
        <v>1</v>
      </c>
      <c r="DX29">
        <v>1</v>
      </c>
      <c r="EF29">
        <v>1</v>
      </c>
    </row>
    <row r="31" spans="1:152">
      <c r="A31" s="22">
        <v>45717</v>
      </c>
    </row>
    <row r="32" spans="1:152">
      <c r="A32" s="25"/>
      <c r="B32" s="25"/>
      <c r="C32" s="25"/>
    </row>
    <row r="33" spans="1:156">
      <c r="A33" t="s">
        <v>331</v>
      </c>
      <c r="B33" t="s">
        <v>332</v>
      </c>
      <c r="C33" t="s">
        <v>441</v>
      </c>
      <c r="D33" t="s">
        <v>444</v>
      </c>
      <c r="E33" t="s">
        <v>445</v>
      </c>
      <c r="G33">
        <v>13</v>
      </c>
      <c r="Q33">
        <v>4</v>
      </c>
      <c r="Y33">
        <v>1</v>
      </c>
      <c r="AF33">
        <v>2</v>
      </c>
      <c r="BB33">
        <v>1</v>
      </c>
      <c r="DR33">
        <v>1</v>
      </c>
    </row>
    <row r="34" spans="1:156">
      <c r="A34" s="28" t="s">
        <v>333</v>
      </c>
      <c r="B34" t="s">
        <v>332</v>
      </c>
      <c r="C34" t="s">
        <v>441</v>
      </c>
      <c r="D34" t="s">
        <v>449</v>
      </c>
      <c r="E34" t="s">
        <v>67</v>
      </c>
      <c r="G34">
        <v>8</v>
      </c>
      <c r="M34">
        <v>1</v>
      </c>
      <c r="Q34">
        <v>2</v>
      </c>
      <c r="BB34">
        <v>1</v>
      </c>
      <c r="EF34">
        <v>2</v>
      </c>
    </row>
    <row r="35" spans="1:156">
      <c r="A35" s="38" t="s">
        <v>334</v>
      </c>
      <c r="B35" s="38" t="s">
        <v>335</v>
      </c>
    </row>
    <row r="36" spans="1:156">
      <c r="A36" t="s">
        <v>336</v>
      </c>
      <c r="B36" t="s">
        <v>337</v>
      </c>
      <c r="C36" t="s">
        <v>338</v>
      </c>
    </row>
    <row r="37" spans="1:156">
      <c r="A37" t="s">
        <v>339</v>
      </c>
      <c r="B37" t="s">
        <v>337</v>
      </c>
      <c r="C37" t="s">
        <v>338</v>
      </c>
    </row>
    <row r="38" spans="1:156">
      <c r="A38" t="s">
        <v>340</v>
      </c>
      <c r="B38" t="s">
        <v>341</v>
      </c>
      <c r="C38" t="s">
        <v>351</v>
      </c>
      <c r="D38" t="s">
        <v>356</v>
      </c>
      <c r="E38" t="s">
        <v>357</v>
      </c>
      <c r="G38">
        <v>2</v>
      </c>
      <c r="I38">
        <v>1</v>
      </c>
      <c r="Q38">
        <v>1</v>
      </c>
      <c r="T38">
        <v>1</v>
      </c>
      <c r="V38">
        <v>1</v>
      </c>
      <c r="BB38">
        <v>3</v>
      </c>
      <c r="BR38">
        <v>1</v>
      </c>
      <c r="CG38">
        <v>1</v>
      </c>
      <c r="CX38">
        <v>1</v>
      </c>
      <c r="DN38">
        <v>1</v>
      </c>
    </row>
    <row r="39" spans="1:156">
      <c r="A39" t="s">
        <v>359</v>
      </c>
      <c r="B39" t="s">
        <v>360</v>
      </c>
      <c r="C39" t="s">
        <v>361</v>
      </c>
      <c r="D39" t="s">
        <v>366</v>
      </c>
      <c r="E39" t="s">
        <v>367</v>
      </c>
      <c r="F39">
        <v>1</v>
      </c>
      <c r="G39">
        <v>4</v>
      </c>
      <c r="Q39">
        <v>1</v>
      </c>
      <c r="BB39">
        <v>1</v>
      </c>
      <c r="DX39">
        <v>1</v>
      </c>
      <c r="EY39">
        <v>1</v>
      </c>
    </row>
    <row r="40" spans="1:156">
      <c r="A40" t="s">
        <v>368</v>
      </c>
      <c r="B40" t="s">
        <v>371</v>
      </c>
      <c r="C40" t="s">
        <v>374</v>
      </c>
      <c r="D40" t="s">
        <v>388</v>
      </c>
      <c r="E40" t="s">
        <v>385</v>
      </c>
      <c r="G40">
        <v>4</v>
      </c>
      <c r="Q40">
        <v>1</v>
      </c>
      <c r="V40">
        <v>3</v>
      </c>
      <c r="X40">
        <v>1</v>
      </c>
      <c r="Y40">
        <v>1</v>
      </c>
      <c r="AG40">
        <v>2</v>
      </c>
      <c r="AK40">
        <v>1</v>
      </c>
      <c r="AP40">
        <v>1</v>
      </c>
      <c r="BB40">
        <v>3</v>
      </c>
      <c r="DA40">
        <v>1</v>
      </c>
      <c r="DN40">
        <v>1</v>
      </c>
      <c r="DS40">
        <v>1</v>
      </c>
    </row>
    <row r="41" spans="1:156">
      <c r="A41" t="s">
        <v>369</v>
      </c>
      <c r="B41" t="s">
        <v>371</v>
      </c>
      <c r="C41" t="s">
        <v>374</v>
      </c>
      <c r="D41" t="s">
        <v>391</v>
      </c>
      <c r="E41" t="s">
        <v>68</v>
      </c>
      <c r="G41">
        <v>2</v>
      </c>
      <c r="J41">
        <v>1</v>
      </c>
      <c r="Q41">
        <v>2</v>
      </c>
      <c r="V41">
        <v>1</v>
      </c>
      <c r="AB41">
        <v>2</v>
      </c>
      <c r="BC41">
        <v>1</v>
      </c>
      <c r="DR41">
        <v>1</v>
      </c>
      <c r="EZ41">
        <v>1</v>
      </c>
    </row>
    <row r="42" spans="1:156">
      <c r="A42" t="s">
        <v>370</v>
      </c>
      <c r="B42" t="s">
        <v>371</v>
      </c>
      <c r="C42" t="s">
        <v>374</v>
      </c>
      <c r="D42" t="s">
        <v>394</v>
      </c>
      <c r="E42" t="s">
        <v>395</v>
      </c>
      <c r="G42">
        <v>3</v>
      </c>
      <c r="T42">
        <v>1</v>
      </c>
      <c r="X42">
        <v>1</v>
      </c>
      <c r="AF42">
        <v>1</v>
      </c>
      <c r="BB42">
        <v>2</v>
      </c>
      <c r="BG42">
        <v>1</v>
      </c>
      <c r="DO42">
        <v>1</v>
      </c>
      <c r="DV42">
        <v>1</v>
      </c>
    </row>
    <row r="43" spans="1:156">
      <c r="A43" s="19" t="s">
        <v>372</v>
      </c>
      <c r="B43" t="s">
        <v>373</v>
      </c>
      <c r="C43" t="s">
        <v>375</v>
      </c>
      <c r="D43" t="s">
        <v>399</v>
      </c>
      <c r="E43" t="s">
        <v>400</v>
      </c>
      <c r="F43">
        <v>1</v>
      </c>
      <c r="G43">
        <v>4</v>
      </c>
      <c r="J43">
        <v>1</v>
      </c>
      <c r="M43">
        <v>1</v>
      </c>
      <c r="O43">
        <v>1</v>
      </c>
      <c r="Q43">
        <v>4</v>
      </c>
      <c r="T43">
        <v>2</v>
      </c>
      <c r="V43">
        <v>1</v>
      </c>
      <c r="X43">
        <v>1</v>
      </c>
      <c r="Y43">
        <v>2</v>
      </c>
      <c r="AB43">
        <v>2</v>
      </c>
      <c r="AD43">
        <v>1</v>
      </c>
      <c r="AK43">
        <v>2</v>
      </c>
      <c r="AL43">
        <v>1</v>
      </c>
      <c r="BK43">
        <v>1</v>
      </c>
      <c r="DR43">
        <v>1</v>
      </c>
      <c r="DS43">
        <v>4</v>
      </c>
      <c r="DV43">
        <v>1</v>
      </c>
      <c r="DY43">
        <v>1</v>
      </c>
      <c r="EI43">
        <v>2</v>
      </c>
    </row>
    <row r="44" spans="1:156">
      <c r="A44" t="s">
        <v>473</v>
      </c>
      <c r="B44" t="s">
        <v>475</v>
      </c>
      <c r="C44" t="s">
        <v>476</v>
      </c>
      <c r="D44" t="s">
        <v>480</v>
      </c>
      <c r="E44" t="s">
        <v>481</v>
      </c>
      <c r="G44">
        <v>3</v>
      </c>
      <c r="I44">
        <v>2</v>
      </c>
      <c r="M44">
        <v>3</v>
      </c>
      <c r="O44">
        <v>2</v>
      </c>
      <c r="Q44">
        <v>3</v>
      </c>
      <c r="V44">
        <v>2</v>
      </c>
      <c r="Y44">
        <v>2</v>
      </c>
      <c r="AB44">
        <v>1</v>
      </c>
      <c r="AC44">
        <v>1</v>
      </c>
      <c r="BJ44">
        <v>1</v>
      </c>
      <c r="CK44">
        <v>1</v>
      </c>
      <c r="DB44">
        <v>1</v>
      </c>
      <c r="DF44">
        <v>3</v>
      </c>
      <c r="DG44">
        <v>1</v>
      </c>
      <c r="DQ44">
        <v>1</v>
      </c>
      <c r="DR44">
        <v>1</v>
      </c>
      <c r="DX44">
        <v>1</v>
      </c>
    </row>
    <row r="45" spans="1:156">
      <c r="A45" s="43">
        <v>45748</v>
      </c>
    </row>
    <row r="47" spans="1:156">
      <c r="A47" t="s">
        <v>459</v>
      </c>
      <c r="B47" t="s">
        <v>460</v>
      </c>
      <c r="C47" t="s">
        <v>461</v>
      </c>
      <c r="D47" t="s">
        <v>465</v>
      </c>
      <c r="E47" t="s">
        <v>466</v>
      </c>
      <c r="G47">
        <v>2</v>
      </c>
      <c r="T47">
        <v>2</v>
      </c>
      <c r="X47">
        <v>1</v>
      </c>
      <c r="AB47">
        <v>1</v>
      </c>
      <c r="AD47">
        <v>1</v>
      </c>
      <c r="AK47">
        <v>1</v>
      </c>
      <c r="BB47">
        <v>1</v>
      </c>
      <c r="BD47">
        <v>3</v>
      </c>
      <c r="BG47">
        <v>1</v>
      </c>
      <c r="BH47">
        <v>1</v>
      </c>
      <c r="BP47">
        <v>2</v>
      </c>
      <c r="DA47">
        <v>1</v>
      </c>
      <c r="DC47">
        <v>1</v>
      </c>
    </row>
    <row r="48" spans="1:156">
      <c r="A48" t="s">
        <v>376</v>
      </c>
      <c r="B48" t="s">
        <v>377</v>
      </c>
      <c r="C48" t="s">
        <v>378</v>
      </c>
      <c r="D48" t="s">
        <v>382</v>
      </c>
      <c r="E48" t="s">
        <v>386</v>
      </c>
      <c r="BB48">
        <v>1</v>
      </c>
      <c r="BG48">
        <v>1</v>
      </c>
      <c r="CV48">
        <v>1</v>
      </c>
      <c r="DR48">
        <v>1</v>
      </c>
      <c r="DV48">
        <v>3</v>
      </c>
      <c r="DX48">
        <v>1</v>
      </c>
      <c r="DZ48">
        <v>1</v>
      </c>
    </row>
    <row r="49" spans="1:157">
      <c r="A49" t="s">
        <v>401</v>
      </c>
    </row>
    <row r="50" spans="1:157">
      <c r="A50" t="s">
        <v>402</v>
      </c>
      <c r="B50" t="s">
        <v>403</v>
      </c>
      <c r="C50" t="s">
        <v>404</v>
      </c>
      <c r="D50" t="s">
        <v>431</v>
      </c>
      <c r="E50" t="s">
        <v>432</v>
      </c>
      <c r="G50">
        <v>1</v>
      </c>
      <c r="Q50">
        <v>3</v>
      </c>
      <c r="BB50">
        <v>2</v>
      </c>
    </row>
    <row r="51" spans="1:157">
      <c r="A51" t="s">
        <v>405</v>
      </c>
      <c r="B51" t="s">
        <v>406</v>
      </c>
      <c r="C51" t="s">
        <v>408</v>
      </c>
      <c r="D51" t="s">
        <v>412</v>
      </c>
      <c r="E51" t="s">
        <v>413</v>
      </c>
      <c r="G51">
        <v>1</v>
      </c>
      <c r="M51">
        <v>5</v>
      </c>
      <c r="Q51">
        <v>6</v>
      </c>
      <c r="T51">
        <v>1</v>
      </c>
      <c r="V51">
        <v>2</v>
      </c>
      <c r="AK51">
        <v>1</v>
      </c>
      <c r="AP51">
        <v>1</v>
      </c>
      <c r="BB51">
        <v>2</v>
      </c>
      <c r="BJ51">
        <v>1</v>
      </c>
      <c r="CA51">
        <v>1</v>
      </c>
      <c r="CF51">
        <v>1</v>
      </c>
      <c r="DG51">
        <v>1</v>
      </c>
      <c r="DN51">
        <v>1</v>
      </c>
      <c r="DQ51">
        <v>1</v>
      </c>
      <c r="DR51">
        <v>4</v>
      </c>
      <c r="DS51">
        <v>1</v>
      </c>
      <c r="DX51">
        <v>2</v>
      </c>
      <c r="EI51">
        <v>1</v>
      </c>
    </row>
    <row r="52" spans="1:157">
      <c r="A52" t="s">
        <v>407</v>
      </c>
      <c r="B52" t="s">
        <v>406</v>
      </c>
      <c r="C52" t="s">
        <v>408</v>
      </c>
      <c r="D52" t="s">
        <v>419</v>
      </c>
      <c r="E52" t="s">
        <v>420</v>
      </c>
      <c r="G52">
        <v>2</v>
      </c>
      <c r="J52">
        <v>1</v>
      </c>
      <c r="Q52">
        <v>2</v>
      </c>
      <c r="V52">
        <v>2</v>
      </c>
      <c r="Y52">
        <v>1</v>
      </c>
      <c r="BG52">
        <v>1</v>
      </c>
      <c r="BN52">
        <v>1</v>
      </c>
      <c r="CA52">
        <v>1</v>
      </c>
      <c r="DR52">
        <v>2</v>
      </c>
      <c r="DS52">
        <v>1</v>
      </c>
      <c r="DV52">
        <v>1</v>
      </c>
      <c r="DX52">
        <v>2</v>
      </c>
      <c r="EF52">
        <v>2</v>
      </c>
    </row>
    <row r="54" spans="1:157">
      <c r="A54" s="43">
        <v>45778</v>
      </c>
    </row>
    <row r="56" spans="1:157">
      <c r="A56" t="s">
        <v>421</v>
      </c>
      <c r="B56" t="s">
        <v>424</v>
      </c>
      <c r="C56" t="s">
        <v>423</v>
      </c>
      <c r="D56" t="s">
        <v>428</v>
      </c>
      <c r="E56" t="s">
        <v>429</v>
      </c>
      <c r="G56">
        <v>3</v>
      </c>
      <c r="I56">
        <v>1</v>
      </c>
      <c r="J56">
        <v>2</v>
      </c>
      <c r="V56">
        <v>1</v>
      </c>
      <c r="Y56">
        <v>1</v>
      </c>
      <c r="AB56">
        <v>1</v>
      </c>
      <c r="AD56">
        <v>1</v>
      </c>
      <c r="BB56">
        <v>1</v>
      </c>
      <c r="BT56">
        <v>1</v>
      </c>
      <c r="BY56">
        <v>1</v>
      </c>
    </row>
    <row r="57" spans="1:157">
      <c r="A57" t="s">
        <v>422</v>
      </c>
      <c r="B57" t="s">
        <v>433</v>
      </c>
      <c r="C57" t="s">
        <v>434</v>
      </c>
      <c r="D57" t="s">
        <v>438</v>
      </c>
      <c r="E57" t="s">
        <v>439</v>
      </c>
      <c r="F57">
        <v>1</v>
      </c>
      <c r="T57">
        <v>1</v>
      </c>
      <c r="X57">
        <v>5</v>
      </c>
      <c r="AO57">
        <v>1</v>
      </c>
      <c r="BD57">
        <v>2</v>
      </c>
      <c r="BJ57">
        <v>2</v>
      </c>
      <c r="BN57">
        <v>1</v>
      </c>
      <c r="BT57">
        <v>1</v>
      </c>
      <c r="CG57">
        <v>1</v>
      </c>
      <c r="DS57">
        <v>1</v>
      </c>
      <c r="DV57">
        <v>2</v>
      </c>
      <c r="DY57">
        <v>3</v>
      </c>
      <c r="ED57">
        <v>1</v>
      </c>
      <c r="EH57">
        <v>1</v>
      </c>
    </row>
    <row r="58" spans="1:157">
      <c r="A58" t="s">
        <v>482</v>
      </c>
      <c r="B58" t="s">
        <v>483</v>
      </c>
      <c r="C58" t="s">
        <v>484</v>
      </c>
      <c r="D58" t="s">
        <v>37</v>
      </c>
      <c r="E58" t="s">
        <v>132</v>
      </c>
    </row>
    <row r="59" spans="1:157">
      <c r="A59" t="s">
        <v>467</v>
      </c>
      <c r="B59" t="s">
        <v>468</v>
      </c>
      <c r="C59" t="s">
        <v>469</v>
      </c>
      <c r="D59" t="s">
        <v>471</v>
      </c>
      <c r="E59" t="s">
        <v>472</v>
      </c>
      <c r="Q59">
        <v>2</v>
      </c>
      <c r="V59">
        <v>1</v>
      </c>
      <c r="Y59">
        <v>1</v>
      </c>
      <c r="BW59">
        <v>1</v>
      </c>
      <c r="CG59">
        <v>1</v>
      </c>
      <c r="DS59">
        <v>1</v>
      </c>
    </row>
    <row r="60" spans="1:157">
      <c r="A60" t="s">
        <v>450</v>
      </c>
      <c r="B60" t="s">
        <v>451</v>
      </c>
      <c r="C60" t="s">
        <v>452</v>
      </c>
      <c r="D60" t="s">
        <v>456</v>
      </c>
      <c r="E60" t="s">
        <v>457</v>
      </c>
      <c r="Q60">
        <v>1</v>
      </c>
      <c r="X60">
        <v>2</v>
      </c>
      <c r="AB60">
        <v>1</v>
      </c>
      <c r="AO60">
        <v>1</v>
      </c>
      <c r="BC60">
        <v>1</v>
      </c>
      <c r="BD60">
        <v>1</v>
      </c>
      <c r="BG60">
        <v>1</v>
      </c>
      <c r="BJ60">
        <v>1</v>
      </c>
      <c r="BS60">
        <v>1</v>
      </c>
      <c r="CS60">
        <v>1</v>
      </c>
      <c r="DD60">
        <v>1</v>
      </c>
      <c r="DS60">
        <v>3</v>
      </c>
      <c r="DV60">
        <v>2</v>
      </c>
      <c r="DX60">
        <v>1</v>
      </c>
      <c r="DY60">
        <v>1</v>
      </c>
      <c r="EF60">
        <v>1</v>
      </c>
    </row>
    <row r="61" spans="1:157">
      <c r="A61" t="s">
        <v>489</v>
      </c>
      <c r="B61" t="s">
        <v>490</v>
      </c>
      <c r="C61" t="s">
        <v>491</v>
      </c>
      <c r="D61" t="s">
        <v>495</v>
      </c>
      <c r="E61" t="s">
        <v>496</v>
      </c>
      <c r="Q61">
        <v>1</v>
      </c>
      <c r="X61">
        <v>2</v>
      </c>
      <c r="AY61">
        <v>1</v>
      </c>
      <c r="BB61">
        <v>1</v>
      </c>
      <c r="BD61">
        <v>2</v>
      </c>
      <c r="BJ61">
        <v>1</v>
      </c>
      <c r="BN61">
        <v>1</v>
      </c>
      <c r="DR61">
        <v>2</v>
      </c>
      <c r="DS61">
        <v>1</v>
      </c>
    </row>
    <row r="62" spans="1:157">
      <c r="A62" t="s">
        <v>497</v>
      </c>
      <c r="B62" t="s">
        <v>267</v>
      </c>
      <c r="C62" t="s">
        <v>498</v>
      </c>
      <c r="D62" t="s">
        <v>501</v>
      </c>
      <c r="E62" t="s">
        <v>502</v>
      </c>
      <c r="G62">
        <v>2</v>
      </c>
      <c r="M62">
        <v>2</v>
      </c>
      <c r="N62">
        <v>2</v>
      </c>
      <c r="Q62">
        <v>2</v>
      </c>
      <c r="AB62">
        <v>1</v>
      </c>
      <c r="AC62">
        <v>5</v>
      </c>
      <c r="AD62">
        <v>1</v>
      </c>
      <c r="AK62">
        <v>1</v>
      </c>
      <c r="AP62">
        <v>1</v>
      </c>
      <c r="BC62">
        <v>1</v>
      </c>
      <c r="BG62">
        <v>1</v>
      </c>
      <c r="BO62">
        <v>3</v>
      </c>
      <c r="BR62">
        <v>1</v>
      </c>
      <c r="DH62">
        <v>1</v>
      </c>
      <c r="DS62">
        <v>2</v>
      </c>
      <c r="FA62">
        <v>2</v>
      </c>
    </row>
    <row r="77" spans="4:170" ht="17" thickBot="1">
      <c r="D77" s="26"/>
      <c r="E77" s="26"/>
      <c r="F77" s="26">
        <f>SUM(F3:F60)</f>
        <v>9</v>
      </c>
      <c r="G77" s="26">
        <f>SUM(G4:G76)</f>
        <v>117</v>
      </c>
      <c r="H77" s="26">
        <f>SUM(H3:H51)</f>
        <v>1</v>
      </c>
      <c r="I77" s="26">
        <f>SUM(I3:I76)</f>
        <v>5</v>
      </c>
      <c r="J77" s="26">
        <f>SUM(J3:J60)</f>
        <v>11</v>
      </c>
      <c r="K77" s="26">
        <f>SUM(K3:K27)</f>
        <v>1</v>
      </c>
      <c r="L77" s="26">
        <f>SUM(L3:L27)</f>
        <v>0</v>
      </c>
      <c r="M77" s="26">
        <f>SUM(M3:M76)</f>
        <v>45</v>
      </c>
      <c r="N77" s="26">
        <f>SUM(N3:N76)</f>
        <v>7</v>
      </c>
      <c r="O77" s="26">
        <f>SUM(O3:O76)</f>
        <v>12</v>
      </c>
      <c r="P77" s="26">
        <f>SUM(P3:P27)</f>
        <v>0</v>
      </c>
      <c r="Q77" s="26">
        <f>SUM(Q3:Q76)</f>
        <v>75</v>
      </c>
      <c r="R77" s="26">
        <f>SUM(R3:R27)</f>
        <v>7</v>
      </c>
      <c r="S77" s="26">
        <f>SUM(S3:S27)</f>
        <v>0</v>
      </c>
      <c r="T77" s="26">
        <f>SUM(T3:T76)</f>
        <v>13</v>
      </c>
      <c r="U77" s="26">
        <f>SUM(U3:U27)</f>
        <v>0</v>
      </c>
      <c r="V77" s="26">
        <f>SUM(V4:V76)</f>
        <v>33</v>
      </c>
      <c r="W77" s="26">
        <f>SUM(W3:W27)</f>
        <v>0</v>
      </c>
      <c r="X77" s="26">
        <f>SUM(X3:X76)</f>
        <v>43</v>
      </c>
      <c r="Y77" s="26">
        <f>SUM(Y4:Y76)</f>
        <v>13</v>
      </c>
      <c r="Z77" s="26">
        <f>SUM(Z3:Z27)</f>
        <v>0</v>
      </c>
      <c r="AA77" s="26">
        <f>SUM(AA3:AA27)</f>
        <v>3</v>
      </c>
      <c r="AB77" s="26">
        <f>SUM(AB3:AB76)</f>
        <v>18</v>
      </c>
      <c r="AC77" s="26">
        <f>SUM(AC3:AC76)</f>
        <v>12</v>
      </c>
      <c r="AD77" s="26">
        <f>SUM(AD5:AD76)</f>
        <v>11</v>
      </c>
      <c r="AE77" s="26">
        <f>SUM(AE3:AE27)</f>
        <v>3</v>
      </c>
      <c r="AF77" s="26">
        <f>SUM(AF3:AF51)</f>
        <v>5</v>
      </c>
      <c r="AG77" s="26">
        <f>SUM(AG3:AG51)</f>
        <v>2</v>
      </c>
      <c r="AH77" s="26">
        <f>SUM(AH3:AH27)</f>
        <v>1</v>
      </c>
      <c r="AI77" s="26">
        <f>SUM(AI3:AI27)</f>
        <v>0</v>
      </c>
      <c r="AJ77" s="26">
        <f>SUM(AJ3:AJ27)</f>
        <v>0</v>
      </c>
      <c r="AK77" s="26">
        <f>SUM(AK3:AK76)</f>
        <v>19</v>
      </c>
      <c r="AL77" s="26">
        <f>SUM(AL3:AL51)</f>
        <v>2</v>
      </c>
      <c r="AM77" s="26">
        <f>SUM(AM3:AM27)</f>
        <v>3</v>
      </c>
      <c r="AN77" s="26">
        <f>SUM(AN3:AN27)</f>
        <v>0</v>
      </c>
      <c r="AO77" s="26">
        <f>SUM(AO4:AO76)</f>
        <v>4</v>
      </c>
      <c r="AP77" s="26">
        <f>SUM(AP3:AP76)</f>
        <v>15</v>
      </c>
      <c r="AQ77" s="26">
        <f t="shared" ref="AQ77:BA77" si="0">SUM(AQ3:AQ27)</f>
        <v>1</v>
      </c>
      <c r="AR77" s="26">
        <f t="shared" si="0"/>
        <v>2</v>
      </c>
      <c r="AS77" s="26">
        <f t="shared" si="0"/>
        <v>2</v>
      </c>
      <c r="AT77" s="26">
        <f t="shared" si="0"/>
        <v>0</v>
      </c>
      <c r="AU77" s="26">
        <f t="shared" si="0"/>
        <v>0</v>
      </c>
      <c r="AV77" s="26">
        <f t="shared" si="0"/>
        <v>0</v>
      </c>
      <c r="AW77" s="26">
        <f t="shared" si="0"/>
        <v>1</v>
      </c>
      <c r="AX77" s="26">
        <f t="shared" si="0"/>
        <v>0</v>
      </c>
      <c r="AY77" s="26">
        <f>SUM(AY3:AY76)</f>
        <v>3</v>
      </c>
      <c r="AZ77" s="26">
        <f t="shared" si="0"/>
        <v>0</v>
      </c>
      <c r="BA77" s="26">
        <f t="shared" si="0"/>
        <v>1</v>
      </c>
      <c r="BB77" s="26">
        <f>SUM(BB3:BB76)</f>
        <v>38</v>
      </c>
      <c r="BC77" s="26">
        <f>SUM(BC4:BC76)</f>
        <v>7</v>
      </c>
      <c r="BD77" s="26">
        <f>SUM(BD3:BD76)</f>
        <v>11</v>
      </c>
      <c r="BE77" s="26">
        <f>SUM(BE3:BE27)</f>
        <v>0</v>
      </c>
      <c r="BF77" s="26">
        <f>SUM(BF3:BF27)</f>
        <v>1</v>
      </c>
      <c r="BG77" s="26">
        <f>SUM(BG3:BG76)</f>
        <v>14</v>
      </c>
      <c r="BH77" s="26">
        <f>SUM(BH3:BH76)</f>
        <v>4</v>
      </c>
      <c r="BI77" s="26">
        <f>SUM(BI3:BI27)</f>
        <v>0</v>
      </c>
      <c r="BJ77" s="26">
        <f>SUM(BJ3:BJ76)</f>
        <v>13</v>
      </c>
      <c r="BK77" s="26">
        <f>SUM(BK3:BK51)</f>
        <v>2</v>
      </c>
      <c r="BL77" s="26">
        <f>SUM(BL3:BL27)</f>
        <v>0</v>
      </c>
      <c r="BM77" s="26">
        <f>SUM(BM3:BM27)</f>
        <v>2</v>
      </c>
      <c r="BN77" s="26">
        <f>SUM(BN3:BN76)</f>
        <v>4</v>
      </c>
      <c r="BO77" s="26">
        <f>SUM(BO3:BO76)</f>
        <v>7</v>
      </c>
      <c r="BP77" s="26">
        <f>SUM(BP3:BP76)</f>
        <v>2</v>
      </c>
      <c r="BQ77" s="26">
        <f>SUM(BQ3:BQ27)</f>
        <v>0</v>
      </c>
      <c r="BR77" s="26">
        <f>SUM(BR3:BR76)</f>
        <v>2</v>
      </c>
      <c r="BS77" s="26">
        <f>SUM(BS3:BS27)</f>
        <v>6</v>
      </c>
      <c r="BT77" s="26">
        <f>SUM(BT2:BT76)</f>
        <v>3</v>
      </c>
      <c r="BU77" s="26">
        <f>SUM(BU3:BU27)</f>
        <v>0</v>
      </c>
      <c r="BV77" s="26">
        <f>SUM(BV3:BV27)</f>
        <v>0</v>
      </c>
      <c r="BW77" s="26">
        <f>SUM(BW3:BW76)</f>
        <v>1</v>
      </c>
      <c r="BX77" s="26">
        <f>SUM(BX3:BX27)</f>
        <v>1</v>
      </c>
      <c r="BY77" s="26">
        <f>SUM(BY3:BY60)</f>
        <v>2</v>
      </c>
      <c r="BZ77" s="26">
        <f>SUM(BZ3:BZ27)</f>
        <v>0</v>
      </c>
      <c r="CA77" s="26">
        <f>SUM(CA3:CA60)</f>
        <v>5</v>
      </c>
      <c r="CB77" s="26">
        <f>SUM(CB3:CB27)</f>
        <v>0</v>
      </c>
      <c r="CC77" s="26">
        <f>SUM(CC3:CC27)</f>
        <v>0</v>
      </c>
      <c r="CD77" s="26">
        <f>SUM(CD3:CD27)</f>
        <v>0</v>
      </c>
      <c r="CE77" s="26">
        <f>SUM(CE3:CE27)</f>
        <v>0</v>
      </c>
      <c r="CF77" s="26">
        <f>SUM(CF3:CF51)</f>
        <v>1</v>
      </c>
      <c r="CG77" s="26">
        <f>SUM(CG3:CG76)</f>
        <v>5</v>
      </c>
      <c r="CH77" s="26">
        <f t="shared" ref="CH77:CQ77" si="1">SUM(CH3:CH27)</f>
        <v>0</v>
      </c>
      <c r="CI77" s="26">
        <f t="shared" si="1"/>
        <v>0</v>
      </c>
      <c r="CJ77" s="26">
        <f t="shared" si="1"/>
        <v>0</v>
      </c>
      <c r="CK77" s="26">
        <f>SUM(CK3:CK76)</f>
        <v>1</v>
      </c>
      <c r="CL77" s="26">
        <f t="shared" si="1"/>
        <v>0</v>
      </c>
      <c r="CM77" s="26">
        <f t="shared" si="1"/>
        <v>0</v>
      </c>
      <c r="CN77" s="26">
        <f t="shared" si="1"/>
        <v>0</v>
      </c>
      <c r="CO77" s="26">
        <f t="shared" si="1"/>
        <v>0</v>
      </c>
      <c r="CP77" s="26">
        <f t="shared" si="1"/>
        <v>0</v>
      </c>
      <c r="CQ77" s="26">
        <f t="shared" si="1"/>
        <v>0</v>
      </c>
      <c r="CR77" s="26">
        <f>SUM(CR2:CR27)</f>
        <v>0</v>
      </c>
      <c r="CS77" s="26">
        <f>SUM(CS2:CS76)</f>
        <v>2</v>
      </c>
      <c r="CT77" s="26">
        <f>SUM(CT2:CT27)</f>
        <v>0</v>
      </c>
      <c r="CU77" s="26">
        <f>SUM(CU2:CU27)</f>
        <v>0</v>
      </c>
      <c r="CV77" s="26">
        <f>SUM(CV3:CV51)</f>
        <v>2</v>
      </c>
      <c r="CW77" s="26">
        <f>SUM(CW2:CW27)</f>
        <v>0</v>
      </c>
      <c r="CX77" s="26">
        <f>SUM(CX2:CX27)</f>
        <v>1</v>
      </c>
      <c r="CY77" s="26">
        <f>SUM(CY2:CY27)</f>
        <v>0</v>
      </c>
      <c r="CZ77" s="26">
        <f>SUM(CZ2:CZ27)</f>
        <v>0</v>
      </c>
      <c r="DA77" s="26">
        <f>SUM(DA2:DA76)</f>
        <v>2</v>
      </c>
      <c r="DB77" s="26">
        <f>SUM(DB2:DB76)</f>
        <v>3</v>
      </c>
      <c r="DC77" s="26">
        <f>SUM(DC2:DC76)</f>
        <v>2</v>
      </c>
      <c r="DD77" s="26">
        <f>SUM(DD2:DD76)</f>
        <v>1</v>
      </c>
      <c r="DE77" s="26">
        <f>SUM(DE2:DE27)</f>
        <v>0</v>
      </c>
      <c r="DF77" s="26">
        <f>SUM(DF2:DF76)</f>
        <v>11</v>
      </c>
      <c r="DG77" s="26">
        <f>SUM(DG2:DG76)</f>
        <v>4</v>
      </c>
      <c r="DH77" s="26">
        <f>SUM(DH2:DH76)</f>
        <v>3</v>
      </c>
      <c r="DI77" s="26">
        <f t="shared" ref="DI77:DM77" si="2">SUM(DI2:DI27)</f>
        <v>0</v>
      </c>
      <c r="DJ77" s="26">
        <f t="shared" si="2"/>
        <v>1</v>
      </c>
      <c r="DK77" s="26">
        <f t="shared" si="2"/>
        <v>0</v>
      </c>
      <c r="DL77" s="26">
        <f t="shared" si="2"/>
        <v>0</v>
      </c>
      <c r="DM77" s="26">
        <f t="shared" si="2"/>
        <v>0</v>
      </c>
      <c r="DN77" s="26">
        <f>SUM(DN2:DN51)</f>
        <v>3</v>
      </c>
      <c r="DO77" s="26">
        <f>SUM(DO3:DO51)</f>
        <v>1</v>
      </c>
      <c r="DP77" s="26">
        <f>SUM(DP3:DP27)</f>
        <v>1</v>
      </c>
      <c r="DQ77" s="26">
        <f>SUM(DQ3:DQ76)</f>
        <v>2</v>
      </c>
      <c r="DR77" s="26">
        <f>SUM(DR3:DR76)</f>
        <v>25</v>
      </c>
      <c r="DS77" s="26">
        <f>SUM(DS3:DS76)</f>
        <v>25</v>
      </c>
      <c r="DT77" s="26">
        <f>SUM(DT3:DT27)</f>
        <v>0</v>
      </c>
      <c r="DU77" s="26">
        <f>SUM(DU3:DU27)</f>
        <v>0</v>
      </c>
      <c r="DV77" s="26">
        <f>SUM(DV4:DV76)</f>
        <v>23</v>
      </c>
      <c r="DW77" s="26">
        <f>SUM(DW3:DW27)</f>
        <v>1</v>
      </c>
      <c r="DX77" s="26">
        <f>SUM(DX3:DX76)</f>
        <v>21</v>
      </c>
      <c r="DY77" s="26">
        <f>SUM(DY4:DY76)</f>
        <v>8</v>
      </c>
      <c r="DZ77" s="26">
        <f>SUM(DZ3:DZ51)</f>
        <v>1</v>
      </c>
      <c r="EA77" s="26">
        <f>SUM(EA3:EA27)</f>
        <v>1</v>
      </c>
      <c r="EB77" s="26">
        <f>SUM(EB3:EB27)</f>
        <v>0</v>
      </c>
      <c r="EC77" s="26">
        <f>SUM(EC3:EC27)</f>
        <v>0</v>
      </c>
      <c r="ED77" s="26">
        <f>SUM(ED3:ED60)</f>
        <v>2</v>
      </c>
      <c r="EE77" s="26">
        <f>SUM(EE3:EE27)</f>
        <v>0</v>
      </c>
      <c r="EF77" s="26">
        <f>SUM(EF3:EF76)</f>
        <v>11</v>
      </c>
      <c r="EG77" s="26">
        <f>SUM(EG3:EG27)</f>
        <v>0</v>
      </c>
      <c r="EH77" s="26">
        <f>SUM(EH3:EH76)</f>
        <v>4</v>
      </c>
      <c r="EI77" s="26">
        <f>SUM(EI3:EI51)</f>
        <v>6</v>
      </c>
      <c r="EJ77" s="26">
        <f>SUM(EJ3:EJ27)</f>
        <v>0</v>
      </c>
      <c r="EK77" s="26">
        <f>SUM(EK3:EK27)</f>
        <v>0</v>
      </c>
      <c r="EL77" s="26">
        <f>SUM(EL3:EL27)</f>
        <v>0</v>
      </c>
      <c r="EM77" s="26">
        <f>SUM(EM3:EM27)</f>
        <v>0</v>
      </c>
      <c r="EN77" s="26">
        <f>SUM(EN3:EN27)</f>
        <v>0</v>
      </c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>
        <f>SUM(EZ2:EZ51)</f>
        <v>1</v>
      </c>
      <c r="FA77" s="26">
        <f>SUM(FA4:FA76)</f>
        <v>2</v>
      </c>
      <c r="FB77" s="26">
        <f>SUM(FB2:FB76)</f>
        <v>0</v>
      </c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</row>
    <row r="78" spans="4:170" ht="17" thickTop="1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BC0F-96A4-054A-AD41-66047E03668C}">
  <dimension ref="A1:K62"/>
  <sheetViews>
    <sheetView zoomScale="66" workbookViewId="0">
      <selection sqref="A1:J1"/>
    </sheetView>
  </sheetViews>
  <sheetFormatPr baseColWidth="10" defaultRowHeight="16"/>
  <cols>
    <col min="1" max="1" width="14.1640625" customWidth="1"/>
    <col min="2" max="2" width="24.5" customWidth="1"/>
    <col min="3" max="3" width="43.33203125" customWidth="1"/>
    <col min="4" max="4" width="59.5" customWidth="1"/>
    <col min="5" max="6" width="44.33203125" customWidth="1"/>
    <col min="7" max="7" width="41.6640625" customWidth="1"/>
    <col min="8" max="8" width="32.1640625" customWidth="1"/>
    <col min="9" max="9" width="44" customWidth="1"/>
    <col min="10" max="10" width="17" customWidth="1"/>
  </cols>
  <sheetData>
    <row r="1" spans="1:10">
      <c r="A1" s="1" t="s">
        <v>1</v>
      </c>
      <c r="B1" s="1" t="s">
        <v>2</v>
      </c>
      <c r="C1" s="1" t="s">
        <v>3</v>
      </c>
      <c r="D1" s="7" t="s">
        <v>159</v>
      </c>
      <c r="E1" s="7" t="s">
        <v>171</v>
      </c>
      <c r="F1" s="7" t="s">
        <v>172</v>
      </c>
      <c r="G1" s="7" t="s">
        <v>160</v>
      </c>
      <c r="H1" s="7" t="s">
        <v>161</v>
      </c>
      <c r="I1" s="7" t="s">
        <v>162</v>
      </c>
      <c r="J1" s="7" t="s">
        <v>189</v>
      </c>
    </row>
    <row r="3" spans="1:10">
      <c r="A3" s="9">
        <v>45658</v>
      </c>
      <c r="B3" s="10"/>
      <c r="C3" s="5"/>
    </row>
    <row r="5" spans="1:10">
      <c r="A5" s="30" t="s">
        <v>179</v>
      </c>
      <c r="B5" t="s">
        <v>180</v>
      </c>
      <c r="C5" t="s">
        <v>186</v>
      </c>
      <c r="D5" t="s">
        <v>163</v>
      </c>
      <c r="E5">
        <v>5</v>
      </c>
      <c r="F5">
        <v>1</v>
      </c>
      <c r="G5" t="s">
        <v>163</v>
      </c>
      <c r="H5" t="s">
        <v>163</v>
      </c>
      <c r="I5" t="s">
        <v>163</v>
      </c>
      <c r="J5" t="s">
        <v>182</v>
      </c>
    </row>
    <row r="6" spans="1:10">
      <c r="A6" t="s">
        <v>190</v>
      </c>
      <c r="B6" t="s">
        <v>191</v>
      </c>
      <c r="C6" t="s">
        <v>192</v>
      </c>
      <c r="D6" t="s">
        <v>163</v>
      </c>
      <c r="E6">
        <v>5</v>
      </c>
      <c r="F6" t="s">
        <v>163</v>
      </c>
      <c r="G6" t="s">
        <v>163</v>
      </c>
      <c r="H6" t="s">
        <v>163</v>
      </c>
      <c r="I6" t="s">
        <v>163</v>
      </c>
      <c r="J6" t="s">
        <v>182</v>
      </c>
    </row>
    <row r="7" spans="1:10">
      <c r="A7" t="s">
        <v>199</v>
      </c>
      <c r="B7" t="s">
        <v>200</v>
      </c>
      <c r="C7" t="s">
        <v>201</v>
      </c>
      <c r="D7" t="s">
        <v>209</v>
      </c>
      <c r="E7">
        <v>3</v>
      </c>
      <c r="F7" t="s">
        <v>163</v>
      </c>
      <c r="G7" t="s">
        <v>163</v>
      </c>
      <c r="H7" t="s">
        <v>163</v>
      </c>
      <c r="I7" t="s">
        <v>163</v>
      </c>
      <c r="J7" t="s">
        <v>182</v>
      </c>
    </row>
    <row r="8" spans="1:10">
      <c r="A8" s="29" t="s">
        <v>210</v>
      </c>
      <c r="B8" t="s">
        <v>200</v>
      </c>
      <c r="C8" t="s">
        <v>201</v>
      </c>
      <c r="D8" s="23" t="s">
        <v>163</v>
      </c>
      <c r="E8">
        <v>3</v>
      </c>
      <c r="F8" t="s">
        <v>163</v>
      </c>
      <c r="G8" t="s">
        <v>163</v>
      </c>
      <c r="H8" t="s">
        <v>163</v>
      </c>
      <c r="I8" t="s">
        <v>163</v>
      </c>
      <c r="J8" t="s">
        <v>182</v>
      </c>
    </row>
    <row r="9" spans="1:10">
      <c r="A9" s="23" t="s">
        <v>216</v>
      </c>
      <c r="B9" s="23" t="s">
        <v>217</v>
      </c>
      <c r="C9" s="23" t="s">
        <v>218</v>
      </c>
      <c r="D9" s="23" t="s">
        <v>163</v>
      </c>
      <c r="E9">
        <v>0</v>
      </c>
      <c r="F9">
        <v>1</v>
      </c>
      <c r="G9" s="23" t="s">
        <v>163</v>
      </c>
      <c r="H9" s="23" t="s">
        <v>163</v>
      </c>
      <c r="I9" s="23" t="s">
        <v>163</v>
      </c>
      <c r="J9" s="23" t="s">
        <v>182</v>
      </c>
    </row>
    <row r="10" spans="1:10">
      <c r="A10" s="23" t="s">
        <v>224</v>
      </c>
      <c r="B10" s="23" t="s">
        <v>217</v>
      </c>
      <c r="C10" s="23" t="s">
        <v>218</v>
      </c>
      <c r="D10" s="23" t="s">
        <v>163</v>
      </c>
      <c r="E10">
        <v>1</v>
      </c>
      <c r="F10">
        <v>0</v>
      </c>
      <c r="G10" s="23" t="s">
        <v>163</v>
      </c>
      <c r="H10" s="23" t="s">
        <v>230</v>
      </c>
      <c r="I10" s="23" t="s">
        <v>163</v>
      </c>
      <c r="J10" s="23" t="s">
        <v>182</v>
      </c>
    </row>
    <row r="11" spans="1:10">
      <c r="A11" s="23" t="s">
        <v>231</v>
      </c>
      <c r="B11" s="23" t="s">
        <v>232</v>
      </c>
      <c r="C11" s="23" t="s">
        <v>233</v>
      </c>
      <c r="D11" s="23" t="s">
        <v>244</v>
      </c>
      <c r="E11" s="33" t="s">
        <v>238</v>
      </c>
      <c r="F11">
        <v>1</v>
      </c>
      <c r="G11" s="23" t="s">
        <v>239</v>
      </c>
      <c r="H11" s="23" t="s">
        <v>163</v>
      </c>
      <c r="I11" s="23" t="s">
        <v>163</v>
      </c>
      <c r="J11" s="23" t="s">
        <v>182</v>
      </c>
    </row>
    <row r="12" spans="1:10">
      <c r="A12" s="23" t="s">
        <v>240</v>
      </c>
      <c r="B12" s="23" t="s">
        <v>232</v>
      </c>
      <c r="C12" s="23" t="s">
        <v>233</v>
      </c>
      <c r="D12" s="23" t="s">
        <v>260</v>
      </c>
      <c r="E12">
        <v>0</v>
      </c>
      <c r="F12">
        <v>0</v>
      </c>
      <c r="G12" s="23" t="s">
        <v>163</v>
      </c>
      <c r="H12" s="23" t="s">
        <v>163</v>
      </c>
      <c r="I12" s="23" t="s">
        <v>163</v>
      </c>
      <c r="J12" s="23" t="s">
        <v>182</v>
      </c>
    </row>
    <row r="13" spans="1:10">
      <c r="A13" t="s">
        <v>251</v>
      </c>
      <c r="B13" t="s">
        <v>252</v>
      </c>
      <c r="C13" t="s">
        <v>253</v>
      </c>
      <c r="D13" s="23" t="s">
        <v>163</v>
      </c>
      <c r="E13">
        <v>1</v>
      </c>
      <c r="F13" t="s">
        <v>163</v>
      </c>
      <c r="G13" s="23" t="s">
        <v>163</v>
      </c>
      <c r="H13" s="23" t="s">
        <v>163</v>
      </c>
      <c r="I13" s="23" t="s">
        <v>163</v>
      </c>
      <c r="J13" s="23" t="s">
        <v>182</v>
      </c>
    </row>
    <row r="14" spans="1:10">
      <c r="A14" t="s">
        <v>259</v>
      </c>
      <c r="B14" t="s">
        <v>252</v>
      </c>
      <c r="C14" t="s">
        <v>253</v>
      </c>
      <c r="D14" s="23" t="s">
        <v>163</v>
      </c>
      <c r="E14">
        <v>2</v>
      </c>
      <c r="F14">
        <v>1</v>
      </c>
      <c r="G14" s="23" t="s">
        <v>265</v>
      </c>
      <c r="H14" s="23" t="s">
        <v>163</v>
      </c>
      <c r="I14" s="23" t="s">
        <v>163</v>
      </c>
      <c r="J14" s="23" t="s">
        <v>182</v>
      </c>
    </row>
    <row r="16" spans="1:10">
      <c r="A16" s="22">
        <v>45689</v>
      </c>
    </row>
    <row r="18" spans="1:10">
      <c r="A18" t="s">
        <v>266</v>
      </c>
      <c r="B18" t="s">
        <v>267</v>
      </c>
      <c r="C18" t="s">
        <v>268</v>
      </c>
      <c r="D18" t="s">
        <v>163</v>
      </c>
      <c r="E18" t="s">
        <v>163</v>
      </c>
      <c r="F18" t="s">
        <v>163</v>
      </c>
      <c r="G18" t="s">
        <v>163</v>
      </c>
      <c r="H18" t="s">
        <v>163</v>
      </c>
      <c r="I18" t="s">
        <v>163</v>
      </c>
      <c r="J18" t="s">
        <v>182</v>
      </c>
    </row>
    <row r="19" spans="1:10">
      <c r="A19" s="23" t="s">
        <v>274</v>
      </c>
      <c r="B19" s="23" t="s">
        <v>275</v>
      </c>
      <c r="C19" s="23" t="s">
        <v>276</v>
      </c>
      <c r="D19" s="23" t="s">
        <v>283</v>
      </c>
      <c r="E19">
        <v>4</v>
      </c>
      <c r="F19" s="33" t="s">
        <v>282</v>
      </c>
      <c r="G19" s="23" t="s">
        <v>265</v>
      </c>
      <c r="H19" s="23" t="s">
        <v>163</v>
      </c>
      <c r="I19" s="23" t="s">
        <v>163</v>
      </c>
      <c r="J19" s="23" t="s">
        <v>182</v>
      </c>
    </row>
    <row r="20" spans="1:10">
      <c r="A20" t="s">
        <v>286</v>
      </c>
      <c r="B20" t="s">
        <v>287</v>
      </c>
      <c r="C20" t="s">
        <v>288</v>
      </c>
      <c r="D20" t="s">
        <v>294</v>
      </c>
      <c r="E20">
        <v>2</v>
      </c>
      <c r="F20">
        <v>0</v>
      </c>
      <c r="G20" t="s">
        <v>295</v>
      </c>
      <c r="H20" t="s">
        <v>163</v>
      </c>
      <c r="I20" t="s">
        <v>163</v>
      </c>
      <c r="J20" t="s">
        <v>182</v>
      </c>
    </row>
    <row r="21" spans="1:10">
      <c r="A21" t="s">
        <v>297</v>
      </c>
      <c r="B21" t="s">
        <v>298</v>
      </c>
      <c r="C21" s="36" t="s">
        <v>299</v>
      </c>
      <c r="D21" t="s">
        <v>163</v>
      </c>
      <c r="E21">
        <v>2</v>
      </c>
      <c r="F21">
        <v>1</v>
      </c>
      <c r="G21" t="s">
        <v>163</v>
      </c>
      <c r="H21" t="s">
        <v>163</v>
      </c>
      <c r="I21" t="s">
        <v>163</v>
      </c>
      <c r="J21" t="s">
        <v>182</v>
      </c>
    </row>
    <row r="22" spans="1:10">
      <c r="A22" s="23" t="s">
        <v>306</v>
      </c>
      <c r="B22" s="23" t="s">
        <v>307</v>
      </c>
      <c r="C22" s="23" t="s">
        <v>308</v>
      </c>
      <c r="D22" s="23" t="s">
        <v>163</v>
      </c>
      <c r="E22">
        <v>2</v>
      </c>
      <c r="F22">
        <v>2</v>
      </c>
      <c r="G22" s="23" t="s">
        <v>163</v>
      </c>
      <c r="H22" s="23" t="s">
        <v>163</v>
      </c>
      <c r="I22" s="23" t="s">
        <v>163</v>
      </c>
      <c r="J22" s="23" t="s">
        <v>182</v>
      </c>
    </row>
    <row r="23" spans="1:10">
      <c r="A23" s="23" t="s">
        <v>312</v>
      </c>
      <c r="B23" s="23" t="s">
        <v>313</v>
      </c>
      <c r="C23" s="23" t="s">
        <v>314</v>
      </c>
      <c r="D23" s="23" t="s">
        <v>319</v>
      </c>
      <c r="E23">
        <v>2</v>
      </c>
      <c r="F23">
        <v>1</v>
      </c>
      <c r="G23" s="23" t="s">
        <v>163</v>
      </c>
      <c r="H23" s="23" t="s">
        <v>163</v>
      </c>
      <c r="I23" s="23" t="s">
        <v>163</v>
      </c>
      <c r="J23" s="23" t="s">
        <v>182</v>
      </c>
    </row>
    <row r="24" spans="1:10">
      <c r="A24" s="23" t="s">
        <v>320</v>
      </c>
      <c r="B24" s="23" t="s">
        <v>313</v>
      </c>
      <c r="C24" s="23" t="s">
        <v>314</v>
      </c>
    </row>
    <row r="25" spans="1:10">
      <c r="A25" s="23" t="s">
        <v>321</v>
      </c>
      <c r="B25" s="23" t="s">
        <v>322</v>
      </c>
      <c r="C25" s="23"/>
    </row>
    <row r="26" spans="1:10">
      <c r="A26" s="23" t="s">
        <v>323</v>
      </c>
      <c r="B26" s="23" t="s">
        <v>324</v>
      </c>
      <c r="C26" s="23"/>
      <c r="D26" s="25"/>
      <c r="E26" s="25"/>
      <c r="F26" s="25"/>
      <c r="G26" s="25"/>
      <c r="H26" s="25"/>
      <c r="I26" s="25"/>
    </row>
    <row r="27" spans="1:10">
      <c r="A27" s="29" t="s">
        <v>325</v>
      </c>
      <c r="B27" s="23" t="s">
        <v>324</v>
      </c>
      <c r="C27" s="23"/>
    </row>
    <row r="28" spans="1:10">
      <c r="A28" s="39" t="s">
        <v>326</v>
      </c>
      <c r="B28" s="23" t="s">
        <v>327</v>
      </c>
      <c r="C28" s="23" t="s">
        <v>342</v>
      </c>
      <c r="D28" t="s">
        <v>163</v>
      </c>
      <c r="E28">
        <v>1</v>
      </c>
      <c r="F28">
        <v>0</v>
      </c>
      <c r="G28" t="s">
        <v>163</v>
      </c>
      <c r="H28" t="s">
        <v>163</v>
      </c>
      <c r="I28" t="s">
        <v>163</v>
      </c>
      <c r="J28" t="s">
        <v>182</v>
      </c>
    </row>
    <row r="29" spans="1:10">
      <c r="A29" s="23" t="s">
        <v>328</v>
      </c>
      <c r="B29" s="23" t="s">
        <v>329</v>
      </c>
      <c r="C29" s="23" t="s">
        <v>330</v>
      </c>
      <c r="D29" s="23" t="s">
        <v>163</v>
      </c>
      <c r="E29">
        <v>2</v>
      </c>
      <c r="F29">
        <v>0</v>
      </c>
      <c r="G29" s="23" t="s">
        <v>163</v>
      </c>
      <c r="H29" s="23" t="s">
        <v>163</v>
      </c>
      <c r="I29" s="23" t="s">
        <v>163</v>
      </c>
      <c r="J29" s="23" t="s">
        <v>182</v>
      </c>
    </row>
    <row r="30" spans="1:10">
      <c r="A30" s="23"/>
      <c r="B30" s="23"/>
      <c r="C30" s="23"/>
    </row>
    <row r="31" spans="1:10" ht="17" thickBot="1">
      <c r="A31" s="40">
        <v>45717</v>
      </c>
      <c r="B31" s="23"/>
      <c r="C31" s="23"/>
      <c r="E31" s="26"/>
      <c r="F31" s="26"/>
      <c r="G31" t="s">
        <v>488</v>
      </c>
      <c r="H31" t="s">
        <v>163</v>
      </c>
      <c r="I31" t="s">
        <v>163</v>
      </c>
      <c r="J31" t="s">
        <v>182</v>
      </c>
    </row>
    <row r="32" spans="1:10" ht="17" thickTop="1">
      <c r="A32" s="41"/>
      <c r="B32" s="41"/>
      <c r="C32" s="41"/>
    </row>
    <row r="33" spans="1:10">
      <c r="A33" s="23" t="s">
        <v>331</v>
      </c>
      <c r="B33" s="23" t="s">
        <v>332</v>
      </c>
      <c r="C33" s="23" t="s">
        <v>441</v>
      </c>
      <c r="D33" s="23" t="s">
        <v>163</v>
      </c>
      <c r="E33">
        <v>3</v>
      </c>
      <c r="F33">
        <v>0</v>
      </c>
      <c r="G33" s="23" t="s">
        <v>163</v>
      </c>
      <c r="H33" s="23" t="s">
        <v>163</v>
      </c>
      <c r="I33" s="23" t="s">
        <v>163</v>
      </c>
      <c r="J33" s="23" t="s">
        <v>182</v>
      </c>
    </row>
    <row r="34" spans="1:10">
      <c r="A34" s="29" t="s">
        <v>333</v>
      </c>
      <c r="B34" s="23" t="s">
        <v>332</v>
      </c>
      <c r="C34" s="23" t="s">
        <v>441</v>
      </c>
      <c r="D34" t="s">
        <v>163</v>
      </c>
      <c r="E34">
        <v>3</v>
      </c>
      <c r="F34">
        <v>0</v>
      </c>
      <c r="G34" t="s">
        <v>163</v>
      </c>
      <c r="H34" t="s">
        <v>163</v>
      </c>
      <c r="I34" t="s">
        <v>163</v>
      </c>
      <c r="J34" t="s">
        <v>182</v>
      </c>
    </row>
    <row r="35" spans="1:10">
      <c r="A35" s="39" t="s">
        <v>334</v>
      </c>
      <c r="B35" s="39" t="s">
        <v>335</v>
      </c>
      <c r="C35" s="23"/>
    </row>
    <row r="36" spans="1:10">
      <c r="A36" s="23" t="s">
        <v>336</v>
      </c>
      <c r="B36" s="23" t="s">
        <v>337</v>
      </c>
      <c r="C36" s="23" t="s">
        <v>338</v>
      </c>
    </row>
    <row r="37" spans="1:10">
      <c r="A37" s="23" t="s">
        <v>339</v>
      </c>
      <c r="B37" s="23" t="s">
        <v>337</v>
      </c>
      <c r="C37" s="23" t="s">
        <v>338</v>
      </c>
    </row>
    <row r="38" spans="1:10">
      <c r="A38" s="23" t="s">
        <v>340</v>
      </c>
      <c r="B38" s="23" t="s">
        <v>341</v>
      </c>
      <c r="C38" s="23" t="s">
        <v>358</v>
      </c>
      <c r="D38" s="23" t="s">
        <v>163</v>
      </c>
      <c r="E38" s="23">
        <v>3</v>
      </c>
      <c r="F38" s="23">
        <v>1</v>
      </c>
      <c r="G38" s="23" t="s">
        <v>163</v>
      </c>
      <c r="H38" s="23" t="s">
        <v>163</v>
      </c>
      <c r="I38" s="23" t="s">
        <v>163</v>
      </c>
      <c r="J38" s="23" t="s">
        <v>182</v>
      </c>
    </row>
    <row r="39" spans="1:10">
      <c r="A39" t="s">
        <v>359</v>
      </c>
      <c r="B39" t="s">
        <v>360</v>
      </c>
      <c r="C39" t="s">
        <v>361</v>
      </c>
      <c r="D39" t="s">
        <v>163</v>
      </c>
      <c r="E39">
        <v>2</v>
      </c>
      <c r="F39">
        <v>0</v>
      </c>
      <c r="G39" t="s">
        <v>163</v>
      </c>
      <c r="H39" t="s">
        <v>163</v>
      </c>
      <c r="I39" t="s">
        <v>163</v>
      </c>
      <c r="J39" t="s">
        <v>182</v>
      </c>
    </row>
    <row r="40" spans="1:10">
      <c r="A40" t="s">
        <v>368</v>
      </c>
      <c r="B40" t="s">
        <v>371</v>
      </c>
      <c r="C40" t="s">
        <v>374</v>
      </c>
      <c r="D40" t="s">
        <v>163</v>
      </c>
      <c r="E40">
        <v>3</v>
      </c>
      <c r="F40">
        <v>0</v>
      </c>
      <c r="G40" t="s">
        <v>163</v>
      </c>
      <c r="H40" t="s">
        <v>163</v>
      </c>
      <c r="I40" t="s">
        <v>163</v>
      </c>
      <c r="J40" t="s">
        <v>182</v>
      </c>
    </row>
    <row r="41" spans="1:10">
      <c r="A41" t="s">
        <v>369</v>
      </c>
      <c r="B41" t="s">
        <v>371</v>
      </c>
      <c r="C41" t="s">
        <v>374</v>
      </c>
      <c r="D41" t="s">
        <v>163</v>
      </c>
      <c r="E41">
        <v>2</v>
      </c>
      <c r="F41">
        <v>0</v>
      </c>
      <c r="G41" t="s">
        <v>163</v>
      </c>
      <c r="H41" t="s">
        <v>163</v>
      </c>
      <c r="I41" t="s">
        <v>163</v>
      </c>
      <c r="J41" t="s">
        <v>182</v>
      </c>
    </row>
    <row r="42" spans="1:10">
      <c r="A42" t="s">
        <v>370</v>
      </c>
      <c r="B42" t="s">
        <v>371</v>
      </c>
      <c r="C42" t="s">
        <v>374</v>
      </c>
      <c r="D42" t="s">
        <v>163</v>
      </c>
      <c r="E42">
        <v>1</v>
      </c>
      <c r="F42">
        <v>0</v>
      </c>
      <c r="G42" t="s">
        <v>163</v>
      </c>
      <c r="H42" t="s">
        <v>163</v>
      </c>
      <c r="I42" t="s">
        <v>163</v>
      </c>
      <c r="J42" t="s">
        <v>182</v>
      </c>
    </row>
    <row r="43" spans="1:10">
      <c r="A43" s="19" t="s">
        <v>372</v>
      </c>
      <c r="B43" t="s">
        <v>373</v>
      </c>
      <c r="C43" t="s">
        <v>375</v>
      </c>
      <c r="D43" t="s">
        <v>163</v>
      </c>
      <c r="E43">
        <v>2</v>
      </c>
      <c r="F43">
        <v>0</v>
      </c>
      <c r="G43" t="s">
        <v>163</v>
      </c>
      <c r="H43" t="s">
        <v>163</v>
      </c>
      <c r="I43" t="s">
        <v>163</v>
      </c>
      <c r="J43" t="s">
        <v>182</v>
      </c>
    </row>
    <row r="44" spans="1:10">
      <c r="A44" s="23" t="s">
        <v>473</v>
      </c>
      <c r="B44" s="23" t="s">
        <v>475</v>
      </c>
      <c r="C44" s="23" t="s">
        <v>476</v>
      </c>
      <c r="D44" s="23" t="s">
        <v>163</v>
      </c>
      <c r="E44">
        <v>1</v>
      </c>
      <c r="F44">
        <v>0</v>
      </c>
      <c r="G44" s="23" t="s">
        <v>163</v>
      </c>
      <c r="H44" s="23" t="s">
        <v>163</v>
      </c>
      <c r="I44" s="23" t="s">
        <v>163</v>
      </c>
    </row>
    <row r="45" spans="1:10">
      <c r="A45" s="43">
        <v>45748</v>
      </c>
    </row>
    <row r="47" spans="1:10">
      <c r="A47" t="s">
        <v>459</v>
      </c>
      <c r="B47" t="s">
        <v>460</v>
      </c>
      <c r="C47" t="s">
        <v>461</v>
      </c>
      <c r="D47" t="s">
        <v>163</v>
      </c>
      <c r="E47">
        <v>3</v>
      </c>
      <c r="F47">
        <v>0</v>
      </c>
      <c r="G47" t="s">
        <v>163</v>
      </c>
      <c r="H47" t="s">
        <v>163</v>
      </c>
      <c r="I47" t="s">
        <v>163</v>
      </c>
      <c r="J47" t="s">
        <v>182</v>
      </c>
    </row>
    <row r="48" spans="1:10">
      <c r="A48" t="s">
        <v>376</v>
      </c>
      <c r="B48" t="s">
        <v>377</v>
      </c>
      <c r="C48" t="s">
        <v>378</v>
      </c>
      <c r="D48" t="s">
        <v>383</v>
      </c>
      <c r="E48">
        <v>1</v>
      </c>
      <c r="F48">
        <v>0</v>
      </c>
      <c r="G48" t="s">
        <v>163</v>
      </c>
      <c r="H48" t="s">
        <v>384</v>
      </c>
      <c r="I48" t="s">
        <v>163</v>
      </c>
      <c r="J48" t="s">
        <v>182</v>
      </c>
    </row>
    <row r="49" spans="1:11">
      <c r="A49" t="s">
        <v>401</v>
      </c>
    </row>
    <row r="50" spans="1:11">
      <c r="A50" t="s">
        <v>402</v>
      </c>
      <c r="B50" t="s">
        <v>403</v>
      </c>
      <c r="C50" t="s">
        <v>404</v>
      </c>
      <c r="D50" t="s">
        <v>163</v>
      </c>
      <c r="E50">
        <v>1</v>
      </c>
      <c r="F50">
        <v>0</v>
      </c>
      <c r="G50" t="s">
        <v>163</v>
      </c>
      <c r="H50" t="s">
        <v>163</v>
      </c>
      <c r="I50" t="s">
        <v>163</v>
      </c>
      <c r="J50" t="s">
        <v>182</v>
      </c>
    </row>
    <row r="51" spans="1:11">
      <c r="A51" t="s">
        <v>405</v>
      </c>
      <c r="B51" t="s">
        <v>406</v>
      </c>
      <c r="C51" t="s">
        <v>408</v>
      </c>
      <c r="D51" t="s">
        <v>163</v>
      </c>
      <c r="E51">
        <v>4</v>
      </c>
      <c r="F51">
        <v>0</v>
      </c>
      <c r="G51" t="s">
        <v>163</v>
      </c>
      <c r="H51" t="s">
        <v>163</v>
      </c>
      <c r="I51" t="s">
        <v>163</v>
      </c>
      <c r="J51" t="s">
        <v>182</v>
      </c>
    </row>
    <row r="52" spans="1:11">
      <c r="A52" t="s">
        <v>407</v>
      </c>
      <c r="B52" t="s">
        <v>406</v>
      </c>
      <c r="C52" t="s">
        <v>408</v>
      </c>
      <c r="D52" t="s">
        <v>163</v>
      </c>
      <c r="E52">
        <v>3</v>
      </c>
      <c r="F52">
        <v>0</v>
      </c>
      <c r="G52" t="s">
        <v>163</v>
      </c>
      <c r="H52" t="s">
        <v>163</v>
      </c>
      <c r="I52" t="s">
        <v>163</v>
      </c>
      <c r="J52" t="s">
        <v>182</v>
      </c>
    </row>
    <row r="54" spans="1:11">
      <c r="A54" s="43">
        <v>45778</v>
      </c>
    </row>
    <row r="56" spans="1:11">
      <c r="A56" t="s">
        <v>421</v>
      </c>
      <c r="B56" t="s">
        <v>424</v>
      </c>
      <c r="C56" t="s">
        <v>423</v>
      </c>
      <c r="D56" t="s">
        <v>163</v>
      </c>
      <c r="E56">
        <v>3</v>
      </c>
      <c r="F56">
        <v>0</v>
      </c>
      <c r="G56" t="s">
        <v>163</v>
      </c>
      <c r="H56" t="s">
        <v>163</v>
      </c>
      <c r="I56" t="s">
        <v>163</v>
      </c>
      <c r="J56" t="s">
        <v>182</v>
      </c>
    </row>
    <row r="57" spans="1:11">
      <c r="A57" t="s">
        <v>422</v>
      </c>
      <c r="B57" t="s">
        <v>433</v>
      </c>
      <c r="C57" t="s">
        <v>434</v>
      </c>
      <c r="D57" t="s">
        <v>163</v>
      </c>
      <c r="E57">
        <v>4</v>
      </c>
      <c r="F57">
        <v>0</v>
      </c>
      <c r="G57" t="s">
        <v>440</v>
      </c>
      <c r="H57" t="s">
        <v>163</v>
      </c>
      <c r="I57" t="s">
        <v>163</v>
      </c>
      <c r="J57" t="s">
        <v>182</v>
      </c>
    </row>
    <row r="58" spans="1:11">
      <c r="A58" s="23" t="s">
        <v>482</v>
      </c>
      <c r="B58" s="23" t="s">
        <v>483</v>
      </c>
      <c r="C58" s="23" t="s">
        <v>484</v>
      </c>
      <c r="D58" s="23" t="s">
        <v>163</v>
      </c>
      <c r="E58">
        <v>1</v>
      </c>
      <c r="F58">
        <v>0</v>
      </c>
    </row>
    <row r="59" spans="1:11">
      <c r="A59" t="s">
        <v>467</v>
      </c>
      <c r="B59" t="s">
        <v>468</v>
      </c>
      <c r="C59" t="s">
        <v>469</v>
      </c>
      <c r="D59" t="s">
        <v>163</v>
      </c>
      <c r="E59">
        <v>1</v>
      </c>
      <c r="F59">
        <v>0</v>
      </c>
      <c r="G59" t="s">
        <v>163</v>
      </c>
      <c r="H59" t="s">
        <v>163</v>
      </c>
      <c r="I59" t="s">
        <v>163</v>
      </c>
      <c r="J59" t="s">
        <v>182</v>
      </c>
    </row>
    <row r="60" spans="1:11">
      <c r="A60" t="s">
        <v>450</v>
      </c>
      <c r="B60" t="s">
        <v>451</v>
      </c>
      <c r="C60" t="s">
        <v>452</v>
      </c>
      <c r="D60" t="s">
        <v>458</v>
      </c>
      <c r="E60">
        <v>2</v>
      </c>
      <c r="F60">
        <v>0</v>
      </c>
      <c r="G60" t="s">
        <v>163</v>
      </c>
      <c r="H60" t="s">
        <v>163</v>
      </c>
      <c r="I60" t="s">
        <v>163</v>
      </c>
      <c r="J60" t="s">
        <v>182</v>
      </c>
    </row>
    <row r="61" spans="1:11">
      <c r="A61" s="23" t="s">
        <v>489</v>
      </c>
      <c r="B61" s="23" t="s">
        <v>490</v>
      </c>
      <c r="C61" s="23" t="s">
        <v>491</v>
      </c>
      <c r="D61" s="23" t="s">
        <v>458</v>
      </c>
      <c r="E61">
        <v>2</v>
      </c>
      <c r="F61">
        <v>0</v>
      </c>
      <c r="G61" s="23" t="s">
        <v>163</v>
      </c>
      <c r="H61" s="23" t="s">
        <v>163</v>
      </c>
      <c r="I61" s="23" t="s">
        <v>163</v>
      </c>
      <c r="J61" s="23" t="s">
        <v>182</v>
      </c>
    </row>
    <row r="62" spans="1:11">
      <c r="A62" t="s">
        <v>497</v>
      </c>
      <c r="B62" t="s">
        <v>267</v>
      </c>
      <c r="C62" t="s">
        <v>498</v>
      </c>
      <c r="D62" t="s">
        <v>163</v>
      </c>
      <c r="E62">
        <v>2</v>
      </c>
      <c r="F62">
        <v>0</v>
      </c>
      <c r="G62" t="s">
        <v>163</v>
      </c>
      <c r="H62" t="s">
        <v>163</v>
      </c>
      <c r="I62" t="s">
        <v>163</v>
      </c>
      <c r="J62" t="s">
        <v>182</v>
      </c>
      <c r="K62" t="s">
        <v>181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ADW Jan- Apr 2025 spread sheet</vt:lpstr>
      <vt:lpstr>ADW Jan-Apr Parent Nationality</vt:lpstr>
      <vt:lpstr>ADW Jan - Apr 2025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Sari</dc:creator>
  <cp:lastModifiedBy>Sari Sari</cp:lastModifiedBy>
  <cp:lastPrinted>2025-10-09T14:33:28Z</cp:lastPrinted>
  <dcterms:created xsi:type="dcterms:W3CDTF">2024-06-10T12:03:57Z</dcterms:created>
  <dcterms:modified xsi:type="dcterms:W3CDTF">2026-02-20T13:51:43Z</dcterms:modified>
</cp:coreProperties>
</file>