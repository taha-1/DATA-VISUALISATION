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ri1/Desktop/SARI 2022/AD Workshops 2022/AD Workshop Jan - June questionnaires scans 2022/"/>
    </mc:Choice>
  </mc:AlternateContent>
  <xr:revisionPtr revIDLastSave="0" documentId="8_{D2200911-0BBB-A840-8C04-869BD9FBB416}" xr6:coauthVersionLast="36" xr6:coauthVersionMax="36" xr10:uidLastSave="{00000000-0000-0000-0000-000000000000}"/>
  <bookViews>
    <workbookView xWindow="0" yWindow="460" windowWidth="28800" windowHeight="16300" xr2:uid="{00000000-000D-0000-FFFF-FFFF00000000}"/>
  </bookViews>
  <sheets>
    <sheet name="Sheet 1" sheetId="1" r:id="rId1"/>
  </sheets>
  <calcPr calcId="181029"/>
  <extLst>
    <ext uri="GoogleSheetsCustomDataVersion1">
      <go:sheetsCustomData xmlns:go="http://customooxmlschemas.google.com/" r:id="rId5" roundtripDataSignature="AMtx7mjCnWFo50PsZnsnh7NhdTSWft2L7w=="/>
    </ext>
  </extLst>
</workbook>
</file>

<file path=xl/calcChain.xml><?xml version="1.0" encoding="utf-8"?>
<calcChain xmlns="http://schemas.openxmlformats.org/spreadsheetml/2006/main">
  <c r="M53" i="1" l="1"/>
  <c r="L53" i="1"/>
  <c r="J53" i="1"/>
  <c r="I53" i="1"/>
  <c r="H53" i="1"/>
  <c r="G53" i="1"/>
  <c r="F53" i="1"/>
  <c r="E53" i="1"/>
  <c r="O47" i="1"/>
  <c r="O46" i="1"/>
  <c r="O45" i="1"/>
  <c r="O44" i="1"/>
  <c r="O43" i="1"/>
  <c r="O42" i="1"/>
  <c r="O41" i="1"/>
  <c r="O40" i="1"/>
  <c r="O39" i="1"/>
  <c r="O38" i="1"/>
  <c r="O37" i="1"/>
  <c r="O36" i="1"/>
  <c r="O33" i="1"/>
  <c r="O32" i="1"/>
  <c r="O31" i="1"/>
  <c r="O30" i="1"/>
  <c r="O29" i="1"/>
  <c r="O28" i="1"/>
  <c r="O27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</calcChain>
</file>

<file path=xl/sharedStrings.xml><?xml version="1.0" encoding="utf-8"?>
<sst xmlns="http://schemas.openxmlformats.org/spreadsheetml/2006/main" count="365" uniqueCount="268">
  <si>
    <t>Name of School</t>
  </si>
  <si>
    <t>Location</t>
  </si>
  <si>
    <t>No. Sessions</t>
  </si>
  <si>
    <t>Leinster</t>
  </si>
  <si>
    <t>Munster</t>
  </si>
  <si>
    <t xml:space="preserve">Connacht </t>
  </si>
  <si>
    <t>Ulster</t>
  </si>
  <si>
    <t>Direct Provison Centre</t>
  </si>
  <si>
    <t>No. Participants</t>
  </si>
  <si>
    <t>Gender</t>
  </si>
  <si>
    <t>Coaches</t>
  </si>
  <si>
    <t>Ages</t>
  </si>
  <si>
    <t>Feedback Received</t>
  </si>
  <si>
    <t>Number received</t>
  </si>
  <si>
    <t>Nationalities</t>
  </si>
  <si>
    <t>Other Nationality</t>
  </si>
  <si>
    <t>Very Much Enjoy</t>
  </si>
  <si>
    <t>Quite Enjoyed</t>
  </si>
  <si>
    <t>Somewhat Enjoyed</t>
  </si>
  <si>
    <t>Did not Enjoy</t>
  </si>
  <si>
    <t>None</t>
  </si>
  <si>
    <t>Check</t>
  </si>
  <si>
    <t>Poland</t>
  </si>
  <si>
    <t>Brazil</t>
  </si>
  <si>
    <t>Scotland</t>
  </si>
  <si>
    <t>Bosnia</t>
  </si>
  <si>
    <t>Tunisia</t>
  </si>
  <si>
    <t>Mexico</t>
  </si>
  <si>
    <t>Senegal</t>
  </si>
  <si>
    <t>Israel</t>
  </si>
  <si>
    <t>Iceland</t>
  </si>
  <si>
    <t>Uruguay</t>
  </si>
  <si>
    <t>Russia</t>
  </si>
  <si>
    <t>UK</t>
  </si>
  <si>
    <t>Bulgaria</t>
  </si>
  <si>
    <t>Belgium</t>
  </si>
  <si>
    <t>Georgia</t>
  </si>
  <si>
    <t>Cameroon</t>
  </si>
  <si>
    <t>Lithuania</t>
  </si>
  <si>
    <t>Hungary</t>
  </si>
  <si>
    <t>Nigeria</t>
  </si>
  <si>
    <t>Pakistan</t>
  </si>
  <si>
    <t>Somalia</t>
  </si>
  <si>
    <t>Germany</t>
  </si>
  <si>
    <t>Congo</t>
  </si>
  <si>
    <t>Malaysia</t>
  </si>
  <si>
    <t>Eritrea</t>
  </si>
  <si>
    <t>Syria</t>
  </si>
  <si>
    <t>South Africa</t>
  </si>
  <si>
    <t>Qatar</t>
  </si>
  <si>
    <t>Zimbabwe</t>
  </si>
  <si>
    <t>Italy</t>
  </si>
  <si>
    <t>USA</t>
  </si>
  <si>
    <t>Serbia</t>
  </si>
  <si>
    <t>Latvia</t>
  </si>
  <si>
    <t>China</t>
  </si>
  <si>
    <t>Mauritius</t>
  </si>
  <si>
    <t>Mongolia</t>
  </si>
  <si>
    <t>Bolivia</t>
  </si>
  <si>
    <t>Jamaica</t>
  </si>
  <si>
    <t>India</t>
  </si>
  <si>
    <t>Macedonia</t>
  </si>
  <si>
    <t>Romania</t>
  </si>
  <si>
    <t>Ukraine</t>
  </si>
  <si>
    <t>Palestine</t>
  </si>
  <si>
    <t>Greece</t>
  </si>
  <si>
    <t>Canada</t>
  </si>
  <si>
    <t>Netherlands</t>
  </si>
  <si>
    <t>Spain</t>
  </si>
  <si>
    <t>Thailand</t>
  </si>
  <si>
    <t>Iraq</t>
  </si>
  <si>
    <t>Bangldesh</t>
  </si>
  <si>
    <t>Slovakia</t>
  </si>
  <si>
    <t>Hawai</t>
  </si>
  <si>
    <t>Guatamela</t>
  </si>
  <si>
    <t>France</t>
  </si>
  <si>
    <t>Angola</t>
  </si>
  <si>
    <t>Portugal</t>
  </si>
  <si>
    <t>Phillipines</t>
  </si>
  <si>
    <t>Marocco</t>
  </si>
  <si>
    <t>Ecuador</t>
  </si>
  <si>
    <t>Wales</t>
  </si>
  <si>
    <t>Finland</t>
  </si>
  <si>
    <t>Belarus</t>
  </si>
  <si>
    <t>Sudan</t>
  </si>
  <si>
    <t>Japan</t>
  </si>
  <si>
    <t>Argentina</t>
  </si>
  <si>
    <t>Denmark</t>
  </si>
  <si>
    <t>Zambia</t>
  </si>
  <si>
    <t>Australia</t>
  </si>
  <si>
    <t>Iran</t>
  </si>
  <si>
    <t>Kurdistan</t>
  </si>
  <si>
    <t>Croatia</t>
  </si>
  <si>
    <t>Egypt</t>
  </si>
  <si>
    <t>Maldova</t>
  </si>
  <si>
    <t>Sweden</t>
  </si>
  <si>
    <t>Estonia</t>
  </si>
  <si>
    <t>Albania</t>
  </si>
  <si>
    <t>Swaziland</t>
  </si>
  <si>
    <t>Kazakhstan</t>
  </si>
  <si>
    <t>New Zealand</t>
  </si>
  <si>
    <t>Nepal</t>
  </si>
  <si>
    <t>Slovenia</t>
  </si>
  <si>
    <t>Venezuela</t>
  </si>
  <si>
    <t>Algeria</t>
  </si>
  <si>
    <t>East Africa</t>
  </si>
  <si>
    <t>Lebanon</t>
  </si>
  <si>
    <t>Male</t>
  </si>
  <si>
    <t>Female</t>
  </si>
  <si>
    <t>Other</t>
  </si>
  <si>
    <t>Scoil Chliodhna CNS</t>
  </si>
  <si>
    <t>Carrigtwohill, Co. Cork,</t>
  </si>
  <si>
    <t>Kerrie, Mahdi, Teo</t>
  </si>
  <si>
    <t>Yes</t>
  </si>
  <si>
    <t>Poland 11, UK 7, Lithuania 5, Hungry2</t>
  </si>
  <si>
    <t>Palestine, Morocco, South Africa, China, Greece, Congo, Canada, Germany, Nigeria,Portugal</t>
  </si>
  <si>
    <t>St. Louis Secondary School</t>
  </si>
  <si>
    <t>Castletown Rd, Castletown, Dundalk, Co. Louth</t>
  </si>
  <si>
    <t>2 Nigeria</t>
  </si>
  <si>
    <t>Poland, South Africa, Lithuania, Pakistan, Netherlands, Congo, UK, Somalia</t>
  </si>
  <si>
    <t>Pakistan 4, Somalia 3, Nigeria 3, Germany 2, UK2</t>
  </si>
  <si>
    <t>Spain,Thailand,Latvia,Lithuania,Congo,Hungary,Iraq,south Africa,Ecuador</t>
  </si>
  <si>
    <t>St. Anne's Primary School</t>
  </si>
  <si>
    <t>Kilcarrig Ave, Fettercairn, Dublin 24</t>
  </si>
  <si>
    <t>Lithuania 3, UK 3, Congo 2, Nigeria 2,</t>
  </si>
  <si>
    <t>Latvia, Bangladesh, South Africa</t>
  </si>
  <si>
    <t>Sixmilebridge National School</t>
  </si>
  <si>
    <t>Leverstown, Co. Clare</t>
  </si>
  <si>
    <t>Poland 6, UK 5, Italy 2, USA 2</t>
  </si>
  <si>
    <t>Syria, Romania, Spain, Belarus , Slovakia, Nigeria</t>
  </si>
  <si>
    <t>Poland 6, UK 5</t>
  </si>
  <si>
    <t xml:space="preserve">Brazil, Hawaii, Hungary, Angola, Nigeria, USA, Morocco, Syria, Japan, Palestine, Guatemala, Argentina, Spain, Mauritius </t>
  </si>
  <si>
    <t>Poland 7, UK 5, Malaysia 2, Syria 2</t>
  </si>
  <si>
    <t>Brazil, France, Hawaii</t>
  </si>
  <si>
    <t>St. Annes primary School</t>
  </si>
  <si>
    <t>Nigeria 7, UK 4, Congo 3, Poland 3</t>
  </si>
  <si>
    <t>Angola, USA, Lithuania, China</t>
  </si>
  <si>
    <t>Scoil Bharra</t>
  </si>
  <si>
    <t>Faussagh Ave, Cabra West, Co. Dublin</t>
  </si>
  <si>
    <t xml:space="preserve">Kerrie, Mahdi, Teo </t>
  </si>
  <si>
    <t>UK 2</t>
  </si>
  <si>
    <t xml:space="preserve">Denmark 1, Zambia 1, Germany </t>
  </si>
  <si>
    <t>Carrick-on-Shannon Community School</t>
  </si>
  <si>
    <t>Summerhill, Carrick-on-Shannon, Co. Leitrim</t>
  </si>
  <si>
    <t>Uk 7,Latvia 2</t>
  </si>
  <si>
    <t>Germany,Lithuania,Portugal,Russia,China,India,Bangladesh,Poland,Nigeria</t>
  </si>
  <si>
    <t>...</t>
  </si>
  <si>
    <t>Uk 4,Slovakia 2.Lithuania 2,Poland 6,Kurdistan 2</t>
  </si>
  <si>
    <t>Malaysia,Ukraine,Latvia,India,Australia,Hungary,Spain,Iran</t>
  </si>
  <si>
    <t>Uk 4,Iraq 4,Slovakia 2,Poland 8,Lithuania 5</t>
  </si>
  <si>
    <t>France,Latvia,Russia,Croatia,Bangladesh</t>
  </si>
  <si>
    <t>O'Connells Secondary School</t>
  </si>
  <si>
    <t>North Richmond Street, Co. Dublin</t>
  </si>
  <si>
    <t>Brazil 3,Romania 8,Ukraine 2,England 3</t>
  </si>
  <si>
    <t>Maldova,Egypt,Mongolia,Venezuela,Poland</t>
  </si>
  <si>
    <t>Beneavin College</t>
  </si>
  <si>
    <t>Ballygyall, Co. Dublin</t>
  </si>
  <si>
    <t>Poland 5, UK 4</t>
  </si>
  <si>
    <t>Romania, Moldova, Slovakia, Lithuania, Nigeria, Congo, Portugal, Phillippines</t>
  </si>
  <si>
    <t>Poland 4, Latvia 2, UK 2, Lithuania 3</t>
  </si>
  <si>
    <t>Russia, Sweden, Albania, Ukraine, Nigeria, Estonia, Phillippines,  Germany, Italy</t>
  </si>
  <si>
    <t>Millstreet School</t>
  </si>
  <si>
    <t>Millstreet, Co. Cork</t>
  </si>
  <si>
    <t xml:space="preserve">Poland 8, UK 5, South Africa 4, </t>
  </si>
  <si>
    <t>Swaziland, Congo, Kazakistan, India, Ukraine, Lithuania</t>
  </si>
  <si>
    <t>Model School</t>
  </si>
  <si>
    <t>Gardner Street, Dublin</t>
  </si>
  <si>
    <t>China 11, Mauritius 4, Mongolia 3,Romania 4,Croatia 2.Poland 2</t>
  </si>
  <si>
    <t>Portugal, Iraq, Pakistan, Ukraine, Brzail, Morocco, Beligum, Malaysia, Philippines, Cameroon, Latvia,Russia, Georgia,Greece, Bulgaria, Bangladhesh, Iran, India.</t>
  </si>
  <si>
    <t>Lucan Educate Togther</t>
  </si>
  <si>
    <t>Mount Bellew Way, Ballyowen, Lucan, Co. Dublin</t>
  </si>
  <si>
    <t>India 7,Lithuania 2,England 3,Pakistan 4,Poland 4</t>
  </si>
  <si>
    <t>Cmaeroon, Iraq, France,Romania,Eritrea,China,Spain,Somalia,Netherlands,Denmark,Philippines</t>
  </si>
  <si>
    <t>China 4, Romania 4, Ukraine 2, Macedonia 2</t>
  </si>
  <si>
    <t>Brazil, Spain,Hungary,Poland,Bangladesh,Philippines,Georgia,Mongolia,Belarus</t>
  </si>
  <si>
    <t>India 5</t>
  </si>
  <si>
    <t>Pakistan, Romania, Malaysia, Poland, Portugal, Somalia, Philippines, South- Africa, Sudan.</t>
  </si>
  <si>
    <t>St. Vincents</t>
  </si>
  <si>
    <t>William Street, Dublin</t>
  </si>
  <si>
    <t>Romania 2</t>
  </si>
  <si>
    <t>Italy,England           Parent(Romania,Mauritius x2,Latvia,Estonia)</t>
  </si>
  <si>
    <t>St. Damiens</t>
  </si>
  <si>
    <t>Perrystown, Dublin</t>
  </si>
  <si>
    <t>South Africa,Romania,Moldova</t>
  </si>
  <si>
    <t xml:space="preserve">                                Parent(Jamaica,England x3,Italy,Moldova,Romania,Poland,Philippines,Pakistan,Columbia,Lithuania)</t>
  </si>
  <si>
    <t>St Vincents Girls</t>
  </si>
  <si>
    <t>England</t>
  </si>
  <si>
    <t>Gardiner St Primary</t>
  </si>
  <si>
    <t>Belvedere CRT</t>
  </si>
  <si>
    <t>England,Egypt,Philipiines,Romania x2,Moldova</t>
  </si>
  <si>
    <t xml:space="preserve">                                Parent(Romania,Mauritius,Moldova)</t>
  </si>
  <si>
    <t>Celbridge Community School</t>
  </si>
  <si>
    <t>Crodaun, Celbridge, Co. Kildare</t>
  </si>
  <si>
    <t>Kerrie, Teo, Taha</t>
  </si>
  <si>
    <t>Poland 5, France 4, UK 3, Spain 2</t>
  </si>
  <si>
    <t>Lithuania, Scotland, Germany, Argentina, Russia, Congo, Greece, Hungary, Uraguay, Malyasia</t>
  </si>
  <si>
    <t>Kerrie, Teo,Dori</t>
  </si>
  <si>
    <t>England 5,Poland 2,France 2</t>
  </si>
  <si>
    <t xml:space="preserve"> Finland,Germany,Romania, Phillippines, Latvia,Nigeria, Belarus, Russia.</t>
  </si>
  <si>
    <t>Kerrie, Raihanna, Dori</t>
  </si>
  <si>
    <t>UK 2, Nigeria 2</t>
  </si>
  <si>
    <t>Slovakia, Scotland, Croatia, Poland, Malyasia, India, Ukraine,Hungary,Macedonia, Egypt, Lithuania</t>
  </si>
  <si>
    <t>Poland 2,Lithuania 2</t>
  </si>
  <si>
    <t>Germany, Romania,New Zealand,Moldova,Scotland,India, USA, UK, Nigeria</t>
  </si>
  <si>
    <t>Castleblayney Rd, Castletown, Dundalk, Co. Louth</t>
  </si>
  <si>
    <t xml:space="preserve"> Kerrie, Teo, Taha</t>
  </si>
  <si>
    <t>Germany 2, Nigeria 2</t>
  </si>
  <si>
    <t>USA, Netherlands, Spain, Finland</t>
  </si>
  <si>
    <t>Merlin College Galway</t>
  </si>
  <si>
    <t>Doughiska Rd, Galway</t>
  </si>
  <si>
    <t>Nigeria 5, Poland 5, UK 2</t>
  </si>
  <si>
    <t>South- Africa, Latvia, Romania, Lithuania, Nepal, Spain</t>
  </si>
  <si>
    <t>19/0/5/22</t>
  </si>
  <si>
    <t>Poland 8, Nigeria 4, Romania 2, UK 2, Moldova 2</t>
  </si>
  <si>
    <t>Serbia, Croatia, Pakistan, France, Portugal, Belarus, Germany, Latvia, Lithuania, Russia</t>
  </si>
  <si>
    <t>Scoil an Spiroaid</t>
  </si>
  <si>
    <t>Tara Rd, Ninch, Bettystown, Co. Meath</t>
  </si>
  <si>
    <t>Kerrie, Dori Taha</t>
  </si>
  <si>
    <t>Russia 11, Poland 5, UK 3, USA 2</t>
  </si>
  <si>
    <t>India, France, Germany, Jamaica, Hungary, Romania, Bolivia, Thailand, Ukraine, Brazil, Lithuania, Eygpt, Wales, Sudan, Eritea</t>
  </si>
  <si>
    <t>UK 5, Romania 4, China 3, Poland 3, Nigeria 2,Pakistan 2</t>
  </si>
  <si>
    <t>Phillipines, USA, Germany, Qatar, Australia, Cameroon, Egypt, Zimbabwe,Italy</t>
  </si>
  <si>
    <t>26/0/522</t>
  </si>
  <si>
    <t>Malahide Portmarnock Educate Together</t>
  </si>
  <si>
    <t>Malahide Rd, Kinsealy, Dublin 17</t>
  </si>
  <si>
    <t>Kerrie, Taha, Dori, Teo</t>
  </si>
  <si>
    <t>Italy2, USA 2, UK2, Romania 2, France 2,Israel 2</t>
  </si>
  <si>
    <t>Hungary, Finland, South- Africa, Croatia,China,Australia,Iceland,India,Zambia,Columbia, Mexico,Tunisia, Bosnia, Russia, Palestine, Scotland, Denmark, Lithuania, Moldova, Senegal, Poland,Pakistan</t>
  </si>
  <si>
    <t>Gardinar Street Primary School</t>
  </si>
  <si>
    <t>6 Belvedere Court, Mountjoy Dublin</t>
  </si>
  <si>
    <t>Romania 14, Maurtius 2, China 2, UK 2,Somalia 2</t>
  </si>
  <si>
    <t xml:space="preserve"> Pakistan,Moldova,Latvia, India, Phillipines, Iran, Lithuania, Italy, Solvakia, Brazil</t>
  </si>
  <si>
    <t>Kerrie, Teo, Taha, Dori</t>
  </si>
  <si>
    <t>Poland 13, UK 4, Nigeria 2, China 2, SouthAfrica 2,</t>
  </si>
  <si>
    <t>Romania, Lebanon, Spain, East Africa, Italy, Scotland, Algeria, Wales.</t>
  </si>
  <si>
    <t>Scoil Chaoimhin</t>
  </si>
  <si>
    <t>North city Dublin 1</t>
  </si>
  <si>
    <t>America 1, France 1, Phillipense 1,</t>
  </si>
  <si>
    <t>St. Georges National School</t>
  </si>
  <si>
    <t>Balbriggan</t>
  </si>
  <si>
    <t>Kerrie, Taha, Dori</t>
  </si>
  <si>
    <t>5 South-Africa, 2 Nigeria, 2 Poland, 2 India</t>
  </si>
  <si>
    <t>Germany, Hungary, France</t>
  </si>
  <si>
    <t>Total:743</t>
  </si>
  <si>
    <t>De la Salle Dundalk</t>
  </si>
  <si>
    <t xml:space="preserve">                                                                  Total</t>
  </si>
  <si>
    <t>NO</t>
  </si>
  <si>
    <t xml:space="preserve">                     No Age</t>
  </si>
  <si>
    <t>Teacher Received</t>
  </si>
  <si>
    <t>1.a &amp; 1.b</t>
  </si>
  <si>
    <t>2.a &amp; 2.b</t>
  </si>
  <si>
    <t>3.a &amp; 3.b</t>
  </si>
  <si>
    <t>5.a,5.b &amp; 5.c</t>
  </si>
  <si>
    <t>6.a,6.b &amp; 6.c</t>
  </si>
  <si>
    <t>7.a,7.b &amp; 7.c</t>
  </si>
  <si>
    <t>8.a &amp; 8.b</t>
  </si>
  <si>
    <t>10.a &amp; 10.b</t>
  </si>
  <si>
    <t>11.a,11.b,11.c &amp; 11.d</t>
  </si>
  <si>
    <t>15.a,15.b &amp; 15.c</t>
  </si>
  <si>
    <t>16.a &amp; 16.b</t>
  </si>
  <si>
    <t>17.a &amp; 17.b</t>
  </si>
  <si>
    <t>20.a,20.b &amp; 20.c</t>
  </si>
  <si>
    <t>21.a &amp; 21.b</t>
  </si>
  <si>
    <t>22.a &amp; 22.b</t>
  </si>
  <si>
    <t>23.a &amp; 23.b</t>
  </si>
  <si>
    <t>24.a,24.b &amp; 24.c</t>
  </si>
  <si>
    <t>26.a &amp; 26.b</t>
  </si>
  <si>
    <t>Ques.Reference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</si>
</sst>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dd/mm/yy"/>
  </numFmts>
  <fonts count="2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202124"/>
      <name val="Arial"/>
      <family val="2"/>
    </font>
    <font>
      <sz val="11"/>
      <color theme="1"/>
      <name val="Arial"/>
      <family val="2"/>
    </font>
    <font>
      <sz val="11"/>
      <color rgb="FF222222"/>
      <name val="Arial"/>
      <family val="2"/>
    </font>
    <font>
      <b/>
      <u/>
      <sz val="10"/>
      <color rgb="FF4787FF"/>
      <name val="Arial"/>
      <family val="2"/>
    </font>
    <font>
      <u/>
      <sz val="10"/>
      <color rgb="FF202124"/>
      <name val="Arial"/>
      <family val="2"/>
    </font>
    <font>
      <sz val="10"/>
      <color rgb="FF000000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Arial"/>
      <family val="2"/>
      <scheme val="minor"/>
    </font>
    <font>
      <sz val="10"/>
      <color theme="1"/>
      <name val="Arial"/>
      <family val="2"/>
    </font>
    <font>
      <sz val="10"/>
      <color theme="5"/>
      <name val="Arial"/>
      <family val="2"/>
    </font>
    <font>
      <sz val="10"/>
      <color theme="5"/>
      <name val="Arial (Body)_x0000_"/>
    </font>
    <font>
      <sz val="10"/>
      <color theme="1"/>
      <name val="Arial"/>
      <family val="2"/>
      <scheme val="minor"/>
    </font>
    <font>
      <sz val="10"/>
      <color theme="5"/>
      <name val="Arial"/>
      <family val="2"/>
      <scheme val="minor"/>
    </font>
    <font>
      <u/>
      <sz val="10"/>
      <color theme="5"/>
      <name val="Arial (Body)_x0000_"/>
    </font>
    <font>
      <sz val="10"/>
      <color theme="5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  <xf numFmtId="165" fontId="2" fillId="0" borderId="0" xfId="0" applyNumberFormat="1" applyFont="1"/>
    <xf numFmtId="0" fontId="4" fillId="2" borderId="0" xfId="0" applyFont="1" applyFill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5" fontId="2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/>
    <xf numFmtId="165" fontId="13" fillId="0" borderId="0" xfId="0" applyNumberFormat="1" applyFont="1"/>
    <xf numFmtId="0" fontId="13" fillId="0" borderId="0" xfId="0" applyFont="1"/>
    <xf numFmtId="0" fontId="13" fillId="2" borderId="0" xfId="0" applyFont="1" applyFill="1" applyAlignment="1">
      <alignment horizontal="left"/>
    </xf>
    <xf numFmtId="0" fontId="13" fillId="0" borderId="0" xfId="0" applyFont="1" applyAlignment="1"/>
    <xf numFmtId="0" fontId="14" fillId="0" borderId="0" xfId="0" applyFont="1" applyAlignment="1"/>
    <xf numFmtId="0" fontId="14" fillId="0" borderId="0" xfId="0" applyFont="1"/>
    <xf numFmtId="0" fontId="14" fillId="2" borderId="0" xfId="0" applyFont="1" applyFill="1" applyAlignment="1">
      <alignment horizontal="left"/>
    </xf>
    <xf numFmtId="0" fontId="15" fillId="0" borderId="0" xfId="0" applyFont="1" applyAlignment="1"/>
    <xf numFmtId="0" fontId="16" fillId="0" borderId="0" xfId="0" applyFont="1" applyAlignment="1"/>
    <xf numFmtId="165" fontId="14" fillId="0" borderId="0" xfId="0" applyNumberFormat="1" applyFont="1" applyAlignment="1">
      <alignment horizontal="right"/>
    </xf>
    <xf numFmtId="165" fontId="14" fillId="0" borderId="0" xfId="0" applyNumberFormat="1" applyFont="1"/>
    <xf numFmtId="0" fontId="16" fillId="0" borderId="0" xfId="0" applyFont="1"/>
    <xf numFmtId="0" fontId="17" fillId="0" borderId="0" xfId="0" applyFont="1"/>
    <xf numFmtId="0" fontId="12" fillId="0" borderId="0" xfId="0" applyFont="1" applyAlignment="1"/>
    <xf numFmtId="0" fontId="18" fillId="0" borderId="0" xfId="0" applyFont="1" applyAlignment="1"/>
    <xf numFmtId="0" fontId="14" fillId="0" borderId="0" xfId="0" applyFont="1" applyAlignment="1">
      <alignment horizontal="left"/>
    </xf>
    <xf numFmtId="165" fontId="15" fillId="0" borderId="0" xfId="0" applyNumberFormat="1" applyFont="1"/>
    <xf numFmtId="0" fontId="15" fillId="0" borderId="0" xfId="0" applyFont="1"/>
    <xf numFmtId="0" fontId="19" fillId="0" borderId="0" xfId="0" applyFont="1" applyAlignment="1"/>
    <xf numFmtId="0" fontId="20" fillId="0" borderId="0" xfId="0" applyFont="1" applyAlignment="1"/>
    <xf numFmtId="0" fontId="20" fillId="0" borderId="0" xfId="0" applyFont="1"/>
    <xf numFmtId="164" fontId="20" fillId="0" borderId="0" xfId="0" applyNumberFormat="1" applyFont="1" applyAlignment="1">
      <alignment horizontal="right"/>
    </xf>
    <xf numFmtId="164" fontId="20" fillId="0" borderId="0" xfId="0" applyNumberFormat="1" applyFont="1"/>
    <xf numFmtId="0" fontId="21" fillId="0" borderId="0" xfId="0" applyFont="1" applyAlignment="1"/>
    <xf numFmtId="0" fontId="22" fillId="0" borderId="0" xfId="0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Y982"/>
  <sheetViews>
    <sheetView tabSelected="1" zoomScaleNormal="100" workbookViewId="0">
      <pane ySplit="1" topLeftCell="A2" activePane="bottomLeft" state="frozen"/>
      <selection pane="bottomLeft" activeCell="A51" sqref="A51"/>
    </sheetView>
  </sheetViews>
  <sheetFormatPr baseColWidth="10" defaultColWidth="12.6640625" defaultRowHeight="15" customHeight="1"/>
  <cols>
    <col min="1" max="1" width="19.33203125" customWidth="1"/>
    <col min="3" max="3" width="31.1640625" customWidth="1"/>
    <col min="4" max="4" width="38.5" customWidth="1"/>
    <col min="10" max="10" width="22" customWidth="1"/>
    <col min="11" max="11" width="16" customWidth="1"/>
    <col min="15" max="21" width="17.33203125" customWidth="1"/>
    <col min="34" max="39" width="16.83203125" customWidth="1"/>
    <col min="40" max="40" width="16.5" customWidth="1"/>
    <col min="41" max="41" width="40.1640625" customWidth="1"/>
    <col min="42" max="42" width="313.6640625" customWidth="1"/>
  </cols>
  <sheetData>
    <row r="1" spans="1:129" ht="15" customHeight="1">
      <c r="A1" s="46" t="s">
        <v>267</v>
      </c>
      <c r="B1" s="1">
        <v>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/>
      <c r="O1" s="2"/>
      <c r="P1" s="2" t="s">
        <v>10</v>
      </c>
      <c r="Q1" s="2" t="s">
        <v>12</v>
      </c>
      <c r="R1" s="1" t="s">
        <v>13</v>
      </c>
      <c r="S1" s="41" t="s">
        <v>248</v>
      </c>
      <c r="U1" s="2"/>
      <c r="V1" s="2" t="s">
        <v>11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 t="s">
        <v>16</v>
      </c>
      <c r="AI1" s="2" t="s">
        <v>17</v>
      </c>
      <c r="AJ1" s="2" t="s">
        <v>18</v>
      </c>
      <c r="AK1" s="2" t="s">
        <v>19</v>
      </c>
      <c r="AL1" s="1" t="s">
        <v>20</v>
      </c>
      <c r="AM1" s="1" t="s">
        <v>21</v>
      </c>
      <c r="AO1" s="2" t="s">
        <v>14</v>
      </c>
      <c r="AP1" s="1" t="s">
        <v>15</v>
      </c>
      <c r="AQ1" s="1"/>
      <c r="AR1" s="2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  <c r="BB1" s="1" t="s">
        <v>32</v>
      </c>
      <c r="BC1" s="2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2" t="s">
        <v>38</v>
      </c>
      <c r="BI1" s="1" t="s">
        <v>39</v>
      </c>
      <c r="BJ1" s="2" t="s">
        <v>40</v>
      </c>
      <c r="BK1" s="1" t="s">
        <v>41</v>
      </c>
      <c r="BL1" s="2" t="s">
        <v>42</v>
      </c>
      <c r="BM1" s="2" t="s">
        <v>43</v>
      </c>
      <c r="BN1" s="2" t="s">
        <v>44</v>
      </c>
      <c r="BO1" s="2" t="s">
        <v>45</v>
      </c>
      <c r="BP1" s="1" t="s">
        <v>46</v>
      </c>
      <c r="BQ1" s="2" t="s">
        <v>47</v>
      </c>
      <c r="BR1" s="2" t="s">
        <v>48</v>
      </c>
      <c r="BS1" s="1" t="s">
        <v>49</v>
      </c>
      <c r="BT1" s="1" t="s">
        <v>50</v>
      </c>
      <c r="BU1" s="2" t="s">
        <v>51</v>
      </c>
      <c r="BV1" s="2" t="s">
        <v>52</v>
      </c>
      <c r="BW1" s="1" t="s">
        <v>53</v>
      </c>
      <c r="BX1" s="2" t="s">
        <v>54</v>
      </c>
      <c r="BY1" s="2" t="s">
        <v>55</v>
      </c>
      <c r="BZ1" s="1" t="s">
        <v>56</v>
      </c>
      <c r="CA1" s="2" t="s">
        <v>57</v>
      </c>
      <c r="CB1" s="1" t="s">
        <v>58</v>
      </c>
      <c r="CC1" s="1" t="s">
        <v>59</v>
      </c>
      <c r="CD1" s="2" t="s">
        <v>60</v>
      </c>
      <c r="CE1" s="2" t="s">
        <v>61</v>
      </c>
      <c r="CF1" s="2" t="s">
        <v>62</v>
      </c>
      <c r="CG1" s="2" t="s">
        <v>63</v>
      </c>
      <c r="CH1" s="2" t="s">
        <v>64</v>
      </c>
      <c r="CI1" s="2" t="s">
        <v>65</v>
      </c>
      <c r="CJ1" s="2" t="s">
        <v>66</v>
      </c>
      <c r="CK1" s="2" t="s">
        <v>67</v>
      </c>
      <c r="CL1" s="2" t="s">
        <v>68</v>
      </c>
      <c r="CM1" s="2" t="s">
        <v>69</v>
      </c>
      <c r="CN1" s="2" t="s">
        <v>70</v>
      </c>
      <c r="CO1" s="2" t="s">
        <v>71</v>
      </c>
      <c r="CP1" s="2" t="s">
        <v>72</v>
      </c>
      <c r="CQ1" s="1" t="s">
        <v>73</v>
      </c>
      <c r="CR1" s="2" t="s">
        <v>74</v>
      </c>
      <c r="CS1" s="2" t="s">
        <v>75</v>
      </c>
      <c r="CT1" s="1" t="s">
        <v>76</v>
      </c>
      <c r="CU1" s="2" t="s">
        <v>77</v>
      </c>
      <c r="CV1" s="2" t="s">
        <v>78</v>
      </c>
      <c r="CW1" s="1" t="s">
        <v>79</v>
      </c>
      <c r="CX1" s="1" t="s">
        <v>80</v>
      </c>
      <c r="CY1" s="1" t="s">
        <v>81</v>
      </c>
      <c r="CZ1" s="1" t="s">
        <v>82</v>
      </c>
      <c r="DA1" s="1" t="s">
        <v>83</v>
      </c>
      <c r="DB1" s="1" t="s">
        <v>84</v>
      </c>
      <c r="DC1" s="1" t="s">
        <v>85</v>
      </c>
      <c r="DD1" s="1" t="s">
        <v>86</v>
      </c>
      <c r="DE1" s="1" t="s">
        <v>87</v>
      </c>
      <c r="DF1" s="1" t="s">
        <v>88</v>
      </c>
      <c r="DG1" s="1" t="s">
        <v>89</v>
      </c>
      <c r="DH1" s="1" t="s">
        <v>90</v>
      </c>
      <c r="DI1" s="1" t="s">
        <v>91</v>
      </c>
      <c r="DJ1" s="1" t="s">
        <v>92</v>
      </c>
      <c r="DK1" s="1" t="s">
        <v>93</v>
      </c>
      <c r="DL1" s="1" t="s">
        <v>94</v>
      </c>
      <c r="DM1" s="1" t="s">
        <v>95</v>
      </c>
      <c r="DN1" s="1" t="s">
        <v>96</v>
      </c>
      <c r="DO1" s="1" t="s">
        <v>97</v>
      </c>
      <c r="DP1" s="1" t="s">
        <v>98</v>
      </c>
      <c r="DQ1" s="1" t="s">
        <v>99</v>
      </c>
      <c r="DR1" s="1" t="s">
        <v>100</v>
      </c>
      <c r="DS1" s="1" t="s">
        <v>101</v>
      </c>
      <c r="DT1" s="1" t="s">
        <v>102</v>
      </c>
      <c r="DU1" s="1" t="s">
        <v>103</v>
      </c>
      <c r="DV1" s="1" t="s">
        <v>104</v>
      </c>
      <c r="DW1" s="1" t="s">
        <v>105</v>
      </c>
      <c r="DX1" s="1" t="s">
        <v>106</v>
      </c>
      <c r="DY1" s="1"/>
    </row>
    <row r="4" spans="1:129" ht="15" customHeight="1">
      <c r="L4" s="42" t="s">
        <v>107</v>
      </c>
      <c r="M4" s="42" t="s">
        <v>108</v>
      </c>
      <c r="N4" s="42" t="s">
        <v>109</v>
      </c>
      <c r="O4" s="42" t="s">
        <v>21</v>
      </c>
      <c r="U4" s="40" t="s">
        <v>247</v>
      </c>
      <c r="V4" s="41">
        <v>9</v>
      </c>
      <c r="W4" s="42">
        <v>10</v>
      </c>
      <c r="X4" s="42">
        <v>11</v>
      </c>
      <c r="Y4" s="42">
        <v>12</v>
      </c>
      <c r="Z4" s="42">
        <v>13</v>
      </c>
      <c r="AA4" s="42">
        <v>14</v>
      </c>
      <c r="AB4" s="42">
        <v>15</v>
      </c>
      <c r="AC4" s="42">
        <v>16</v>
      </c>
      <c r="AD4" s="41">
        <v>17</v>
      </c>
      <c r="AE4" s="41">
        <v>18</v>
      </c>
      <c r="AF4" s="41" t="s">
        <v>21</v>
      </c>
      <c r="AG4" s="5"/>
    </row>
    <row r="5" spans="1:129" ht="15" customHeight="1">
      <c r="B5" s="43">
        <v>44593</v>
      </c>
      <c r="Y5" s="3"/>
    </row>
    <row r="6" spans="1:129" ht="15" customHeight="1">
      <c r="A6" s="45" t="s">
        <v>249</v>
      </c>
      <c r="B6" s="6">
        <v>44620</v>
      </c>
      <c r="C6" s="3" t="s">
        <v>110</v>
      </c>
      <c r="D6" s="7" t="s">
        <v>111</v>
      </c>
      <c r="E6" s="8">
        <v>2</v>
      </c>
      <c r="F6" s="8">
        <v>0</v>
      </c>
      <c r="G6" s="8">
        <v>2</v>
      </c>
      <c r="H6" s="8">
        <v>0</v>
      </c>
      <c r="I6" s="8">
        <v>0</v>
      </c>
      <c r="J6" s="8">
        <v>0</v>
      </c>
      <c r="K6" s="8">
        <v>48</v>
      </c>
      <c r="L6" s="3">
        <v>19</v>
      </c>
      <c r="M6" s="3">
        <v>29</v>
      </c>
      <c r="N6" s="4">
        <v>0</v>
      </c>
      <c r="O6" s="5">
        <v>48</v>
      </c>
      <c r="P6" s="3" t="s">
        <v>112</v>
      </c>
      <c r="Q6" s="3" t="s">
        <v>113</v>
      </c>
      <c r="R6" s="5">
        <v>47</v>
      </c>
      <c r="S6" s="5">
        <v>2</v>
      </c>
      <c r="U6" s="5">
        <v>1</v>
      </c>
      <c r="V6" s="4">
        <v>3</v>
      </c>
      <c r="W6" s="4">
        <v>26</v>
      </c>
      <c r="X6" s="4">
        <v>14</v>
      </c>
      <c r="Y6" s="4">
        <v>3</v>
      </c>
      <c r="Z6" s="4">
        <v>0</v>
      </c>
      <c r="AA6" s="4">
        <v>0</v>
      </c>
      <c r="AB6" s="4">
        <v>0</v>
      </c>
      <c r="AC6" s="4">
        <v>0</v>
      </c>
      <c r="AD6" s="5">
        <v>0</v>
      </c>
      <c r="AE6" s="5">
        <v>0</v>
      </c>
      <c r="AF6" s="5">
        <v>47</v>
      </c>
      <c r="AG6" s="5"/>
      <c r="AH6" s="5">
        <v>29</v>
      </c>
      <c r="AI6" s="5">
        <v>13</v>
      </c>
      <c r="AJ6" s="5">
        <v>3</v>
      </c>
      <c r="AK6" s="5">
        <v>1</v>
      </c>
      <c r="AL6" s="5">
        <v>1</v>
      </c>
      <c r="AM6" s="5">
        <v>47</v>
      </c>
      <c r="AO6" s="3" t="s">
        <v>114</v>
      </c>
      <c r="AP6" s="5" t="s">
        <v>115</v>
      </c>
      <c r="AQ6" s="5"/>
      <c r="AR6" s="3">
        <v>11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3">
        <v>7</v>
      </c>
      <c r="BD6" s="5">
        <v>0</v>
      </c>
      <c r="BE6" s="5">
        <v>0</v>
      </c>
      <c r="BF6" s="5">
        <v>0</v>
      </c>
      <c r="BG6" s="5">
        <v>0</v>
      </c>
      <c r="BH6" s="3">
        <v>5</v>
      </c>
      <c r="BI6" s="3">
        <v>2</v>
      </c>
      <c r="BJ6" s="3">
        <v>1</v>
      </c>
      <c r="BK6" s="3">
        <v>0</v>
      </c>
      <c r="BL6" s="3">
        <v>0</v>
      </c>
      <c r="BM6" s="3">
        <v>1</v>
      </c>
      <c r="BN6" s="3">
        <v>1</v>
      </c>
      <c r="BO6" s="3">
        <v>0</v>
      </c>
      <c r="BP6" s="5">
        <v>0</v>
      </c>
      <c r="BQ6" s="3">
        <v>0</v>
      </c>
      <c r="BR6" s="3">
        <v>1</v>
      </c>
      <c r="BS6" s="5">
        <v>0</v>
      </c>
      <c r="BT6" s="5">
        <v>0</v>
      </c>
      <c r="BU6" s="3">
        <v>0</v>
      </c>
      <c r="BV6" s="3">
        <v>0</v>
      </c>
      <c r="BW6" s="5">
        <v>0</v>
      </c>
      <c r="BX6" s="3">
        <v>0</v>
      </c>
      <c r="BY6" s="5">
        <v>1</v>
      </c>
      <c r="BZ6" s="3">
        <v>0</v>
      </c>
      <c r="CA6" s="3">
        <v>0</v>
      </c>
      <c r="CB6" s="5">
        <v>0</v>
      </c>
      <c r="CC6" s="5">
        <v>0</v>
      </c>
      <c r="CD6" s="3">
        <v>0</v>
      </c>
      <c r="CE6" s="3">
        <v>0</v>
      </c>
      <c r="CF6" s="3">
        <v>0</v>
      </c>
      <c r="CG6" s="3">
        <v>0</v>
      </c>
      <c r="CH6" s="3">
        <v>1</v>
      </c>
      <c r="CI6" s="3">
        <v>1</v>
      </c>
      <c r="CJ6" s="3">
        <v>1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5">
        <v>1</v>
      </c>
      <c r="CV6" s="3">
        <v>0</v>
      </c>
      <c r="CW6" s="5">
        <v>1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/>
    </row>
    <row r="9" spans="1:129" ht="15" customHeight="1">
      <c r="B9" s="44">
        <v>44621</v>
      </c>
      <c r="AU9" s="4">
        <v>0</v>
      </c>
    </row>
    <row r="10" spans="1:129" ht="15" customHeight="1">
      <c r="A10" s="45" t="s">
        <v>250</v>
      </c>
      <c r="B10" s="6">
        <v>44622</v>
      </c>
      <c r="C10" s="3" t="s">
        <v>116</v>
      </c>
      <c r="D10" s="9" t="s">
        <v>117</v>
      </c>
      <c r="E10" s="3">
        <v>2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45</v>
      </c>
      <c r="L10" s="3">
        <v>0</v>
      </c>
      <c r="M10" s="3">
        <v>45</v>
      </c>
      <c r="N10" s="3">
        <v>0</v>
      </c>
      <c r="O10" s="3">
        <f t="shared" ref="O10:O24" si="0">L10+M10+N10</f>
        <v>45</v>
      </c>
      <c r="P10" s="3" t="s">
        <v>112</v>
      </c>
      <c r="Q10" s="3" t="s">
        <v>113</v>
      </c>
      <c r="R10" s="5">
        <v>45</v>
      </c>
      <c r="S10" s="5">
        <v>2</v>
      </c>
      <c r="U10" s="5">
        <v>0</v>
      </c>
      <c r="V10" s="4">
        <v>0</v>
      </c>
      <c r="W10" s="4">
        <v>0</v>
      </c>
      <c r="X10" s="4">
        <v>0</v>
      </c>
      <c r="Y10" s="4">
        <v>16</v>
      </c>
      <c r="Z10" s="4">
        <v>27</v>
      </c>
      <c r="AA10" s="4">
        <v>2</v>
      </c>
      <c r="AB10" s="4">
        <v>0</v>
      </c>
      <c r="AC10" s="4">
        <v>0</v>
      </c>
      <c r="AD10" s="5">
        <v>0</v>
      </c>
      <c r="AE10" s="5">
        <v>0</v>
      </c>
      <c r="AF10" s="5">
        <v>45</v>
      </c>
      <c r="AG10" s="3"/>
      <c r="AH10" s="5">
        <v>37</v>
      </c>
      <c r="AI10" s="5">
        <v>6</v>
      </c>
      <c r="AJ10" s="5">
        <v>2</v>
      </c>
      <c r="AK10" s="5">
        <v>0</v>
      </c>
      <c r="AL10" s="5">
        <v>0</v>
      </c>
      <c r="AM10" s="5">
        <v>45</v>
      </c>
      <c r="AO10" s="3" t="s">
        <v>118</v>
      </c>
      <c r="AP10" s="3" t="s">
        <v>119</v>
      </c>
      <c r="AQ10" s="3"/>
      <c r="AR10" s="3">
        <v>1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3">
        <v>1</v>
      </c>
      <c r="BD10" s="5">
        <v>0</v>
      </c>
      <c r="BE10" s="5">
        <v>0</v>
      </c>
      <c r="BF10" s="5">
        <v>0</v>
      </c>
      <c r="BG10" s="5">
        <v>0</v>
      </c>
      <c r="BH10" s="3">
        <v>1</v>
      </c>
      <c r="BI10" s="3">
        <v>0</v>
      </c>
      <c r="BJ10" s="3">
        <v>2</v>
      </c>
      <c r="BK10" s="3">
        <v>1</v>
      </c>
      <c r="BL10" s="3">
        <v>1</v>
      </c>
      <c r="BM10" s="3">
        <v>0</v>
      </c>
      <c r="BN10" s="3">
        <v>1</v>
      </c>
      <c r="BO10" s="3">
        <v>0</v>
      </c>
      <c r="BP10" s="5">
        <v>0</v>
      </c>
      <c r="BQ10" s="3">
        <v>0</v>
      </c>
      <c r="BR10" s="3">
        <v>1</v>
      </c>
      <c r="BS10" s="5">
        <v>0</v>
      </c>
      <c r="BT10" s="5">
        <v>0</v>
      </c>
      <c r="BU10" s="3">
        <v>0</v>
      </c>
      <c r="BV10" s="3">
        <v>0</v>
      </c>
      <c r="BW10" s="5">
        <v>0</v>
      </c>
      <c r="BX10" s="3">
        <v>0</v>
      </c>
      <c r="BY10" s="3">
        <v>0</v>
      </c>
      <c r="BZ10" s="3">
        <v>0</v>
      </c>
      <c r="CA10" s="3">
        <v>0</v>
      </c>
      <c r="CB10" s="5">
        <v>0</v>
      </c>
      <c r="CC10" s="5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1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5">
        <v>0</v>
      </c>
      <c r="CV10" s="3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/>
    </row>
    <row r="11" spans="1:129" ht="15" customHeight="1">
      <c r="A11" s="45" t="s">
        <v>251</v>
      </c>
      <c r="B11" s="6">
        <v>44623</v>
      </c>
      <c r="C11" s="3" t="s">
        <v>116</v>
      </c>
      <c r="D11" s="3" t="s">
        <v>117</v>
      </c>
      <c r="E11" s="3">
        <v>2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41</v>
      </c>
      <c r="L11" s="3">
        <v>0</v>
      </c>
      <c r="M11" s="3">
        <v>41</v>
      </c>
      <c r="N11" s="3">
        <v>0</v>
      </c>
      <c r="O11" s="3">
        <f t="shared" si="0"/>
        <v>41</v>
      </c>
      <c r="P11" s="3" t="s">
        <v>112</v>
      </c>
      <c r="Q11" s="3" t="s">
        <v>113</v>
      </c>
      <c r="R11" s="5">
        <v>39</v>
      </c>
      <c r="S11" s="5">
        <v>3</v>
      </c>
      <c r="U11" s="5">
        <v>0</v>
      </c>
      <c r="V11" s="4">
        <v>0</v>
      </c>
      <c r="W11" s="4">
        <v>0</v>
      </c>
      <c r="X11" s="4">
        <v>0</v>
      </c>
      <c r="Y11" s="4">
        <v>10</v>
      </c>
      <c r="Z11" s="4">
        <v>28</v>
      </c>
      <c r="AA11" s="4">
        <v>1</v>
      </c>
      <c r="AB11" s="4">
        <v>0</v>
      </c>
      <c r="AC11" s="4">
        <v>0</v>
      </c>
      <c r="AD11" s="5">
        <v>0</v>
      </c>
      <c r="AE11" s="5">
        <v>0</v>
      </c>
      <c r="AF11" s="5">
        <v>39</v>
      </c>
      <c r="AG11" s="3"/>
      <c r="AH11" s="5">
        <v>32</v>
      </c>
      <c r="AI11" s="5">
        <v>5</v>
      </c>
      <c r="AJ11" s="5">
        <v>2</v>
      </c>
      <c r="AK11" s="5">
        <v>0</v>
      </c>
      <c r="AL11" s="5">
        <v>0</v>
      </c>
      <c r="AM11" s="5">
        <v>39</v>
      </c>
      <c r="AO11" s="3" t="s">
        <v>120</v>
      </c>
      <c r="AP11" s="5" t="s">
        <v>121</v>
      </c>
      <c r="AQ11" s="3"/>
      <c r="AR11" s="3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3">
        <v>2</v>
      </c>
      <c r="BD11" s="5">
        <v>0</v>
      </c>
      <c r="BE11" s="5">
        <v>0</v>
      </c>
      <c r="BF11" s="5">
        <v>0</v>
      </c>
      <c r="BG11" s="5">
        <v>0</v>
      </c>
      <c r="BH11" s="3">
        <v>1</v>
      </c>
      <c r="BI11" s="3">
        <v>1</v>
      </c>
      <c r="BJ11" s="3">
        <v>3</v>
      </c>
      <c r="BK11" s="5">
        <v>4</v>
      </c>
      <c r="BL11" s="5">
        <v>3</v>
      </c>
      <c r="BM11" s="3">
        <v>2</v>
      </c>
      <c r="BN11" s="3">
        <v>1</v>
      </c>
      <c r="BO11" s="3">
        <v>0</v>
      </c>
      <c r="BP11" s="5">
        <v>0</v>
      </c>
      <c r="BQ11" s="3">
        <v>0</v>
      </c>
      <c r="BR11" s="3">
        <v>1</v>
      </c>
      <c r="BS11" s="5">
        <v>0</v>
      </c>
      <c r="BT11" s="5">
        <v>0</v>
      </c>
      <c r="BU11" s="3">
        <v>0</v>
      </c>
      <c r="BV11" s="3">
        <v>0</v>
      </c>
      <c r="BW11" s="5">
        <v>0</v>
      </c>
      <c r="BX11" s="3">
        <v>1</v>
      </c>
      <c r="BY11" s="3">
        <v>0</v>
      </c>
      <c r="BZ11" s="3">
        <v>0</v>
      </c>
      <c r="CA11" s="3">
        <v>0</v>
      </c>
      <c r="CB11" s="5">
        <v>0</v>
      </c>
      <c r="CC11" s="5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1</v>
      </c>
      <c r="CM11" s="3">
        <v>1</v>
      </c>
      <c r="CN11" s="3">
        <v>1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5">
        <v>0</v>
      </c>
      <c r="CV11" s="3">
        <v>0</v>
      </c>
      <c r="CW11" s="5">
        <v>0</v>
      </c>
      <c r="CX11" s="5">
        <v>1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/>
    </row>
    <row r="12" spans="1:129" ht="15" customHeight="1">
      <c r="A12" s="47">
        <v>4</v>
      </c>
      <c r="B12" s="6">
        <v>44627</v>
      </c>
      <c r="C12" s="3" t="s">
        <v>122</v>
      </c>
      <c r="D12" s="10" t="s">
        <v>123</v>
      </c>
      <c r="E12" s="3">
        <v>2</v>
      </c>
      <c r="F12" s="3">
        <v>2</v>
      </c>
      <c r="G12" s="3">
        <v>0</v>
      </c>
      <c r="H12" s="3">
        <v>0</v>
      </c>
      <c r="I12" s="3">
        <v>0</v>
      </c>
      <c r="J12" s="3">
        <v>0</v>
      </c>
      <c r="K12" s="3">
        <v>44</v>
      </c>
      <c r="L12" s="3">
        <v>18</v>
      </c>
      <c r="M12" s="3">
        <v>26</v>
      </c>
      <c r="N12" s="3">
        <v>0</v>
      </c>
      <c r="O12" s="3">
        <f t="shared" si="0"/>
        <v>44</v>
      </c>
      <c r="P12" s="3" t="s">
        <v>112</v>
      </c>
      <c r="Q12" s="3" t="s">
        <v>113</v>
      </c>
      <c r="R12" s="5">
        <v>28</v>
      </c>
      <c r="S12" s="5">
        <v>1</v>
      </c>
      <c r="U12" s="5">
        <v>0</v>
      </c>
      <c r="V12" s="4">
        <v>0</v>
      </c>
      <c r="W12" s="4">
        <v>10</v>
      </c>
      <c r="X12" s="4">
        <v>18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5">
        <v>0</v>
      </c>
      <c r="AE12" s="5">
        <v>0</v>
      </c>
      <c r="AF12" s="5">
        <v>28</v>
      </c>
      <c r="AG12" s="3"/>
      <c r="AH12" s="5">
        <v>12</v>
      </c>
      <c r="AI12" s="5">
        <v>10</v>
      </c>
      <c r="AJ12" s="5">
        <v>6</v>
      </c>
      <c r="AK12" s="5">
        <v>0</v>
      </c>
      <c r="AL12" s="5">
        <v>0</v>
      </c>
      <c r="AM12" s="5">
        <v>28</v>
      </c>
      <c r="AO12" s="3" t="s">
        <v>124</v>
      </c>
      <c r="AP12" s="3" t="s">
        <v>125</v>
      </c>
      <c r="AQ12" s="3"/>
      <c r="AR12" s="3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3">
        <v>3</v>
      </c>
      <c r="BD12" s="5">
        <v>0</v>
      </c>
      <c r="BE12" s="5">
        <v>0</v>
      </c>
      <c r="BF12" s="5">
        <v>0</v>
      </c>
      <c r="BG12" s="5">
        <v>0</v>
      </c>
      <c r="BH12" s="3">
        <v>3</v>
      </c>
      <c r="BI12" s="3">
        <v>0</v>
      </c>
      <c r="BJ12" s="3">
        <v>2</v>
      </c>
      <c r="BK12" s="3">
        <v>0</v>
      </c>
      <c r="BL12" s="3">
        <v>0</v>
      </c>
      <c r="BM12" s="3">
        <v>0</v>
      </c>
      <c r="BN12" s="3">
        <v>2</v>
      </c>
      <c r="BO12" s="3">
        <v>0</v>
      </c>
      <c r="BP12" s="5">
        <v>0</v>
      </c>
      <c r="BQ12" s="3">
        <v>0</v>
      </c>
      <c r="BR12" s="3">
        <v>1</v>
      </c>
      <c r="BS12" s="5">
        <v>0</v>
      </c>
      <c r="BT12" s="5">
        <v>0</v>
      </c>
      <c r="BU12" s="3">
        <v>0</v>
      </c>
      <c r="BV12" s="3">
        <v>0</v>
      </c>
      <c r="BW12" s="5">
        <v>0</v>
      </c>
      <c r="BX12" s="3">
        <v>1</v>
      </c>
      <c r="BY12" s="3">
        <v>0</v>
      </c>
      <c r="BZ12" s="3">
        <v>0</v>
      </c>
      <c r="CA12" s="3">
        <v>0</v>
      </c>
      <c r="CB12" s="5">
        <v>0</v>
      </c>
      <c r="CC12" s="5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1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5">
        <v>0</v>
      </c>
      <c r="CV12" s="3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/>
    </row>
    <row r="13" spans="1:129" ht="15" customHeight="1">
      <c r="A13" s="45" t="s">
        <v>252</v>
      </c>
      <c r="B13" s="6">
        <v>44629</v>
      </c>
      <c r="C13" s="3" t="s">
        <v>126</v>
      </c>
      <c r="D13" s="8" t="s">
        <v>127</v>
      </c>
      <c r="E13" s="3">
        <v>3</v>
      </c>
      <c r="F13" s="3">
        <v>0</v>
      </c>
      <c r="G13" s="3">
        <v>3</v>
      </c>
      <c r="H13" s="3">
        <v>0</v>
      </c>
      <c r="I13" s="3">
        <v>0</v>
      </c>
      <c r="J13" s="3">
        <v>0</v>
      </c>
      <c r="K13" s="3">
        <v>73</v>
      </c>
      <c r="L13" s="3">
        <v>38</v>
      </c>
      <c r="M13" s="3">
        <v>35</v>
      </c>
      <c r="N13" s="3">
        <v>0</v>
      </c>
      <c r="O13" s="3">
        <f t="shared" si="0"/>
        <v>73</v>
      </c>
      <c r="P13" s="3" t="s">
        <v>112</v>
      </c>
      <c r="Q13" s="3" t="s">
        <v>113</v>
      </c>
      <c r="R13" s="5">
        <v>61</v>
      </c>
      <c r="S13" s="5">
        <v>7</v>
      </c>
      <c r="U13" s="5">
        <v>1</v>
      </c>
      <c r="V13" s="4">
        <v>5</v>
      </c>
      <c r="W13" s="4">
        <v>53</v>
      </c>
      <c r="X13" s="4">
        <v>2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5">
        <v>0</v>
      </c>
      <c r="AE13" s="5">
        <v>0</v>
      </c>
      <c r="AF13" s="5">
        <v>61</v>
      </c>
      <c r="AG13" s="3"/>
      <c r="AH13" s="5">
        <v>51</v>
      </c>
      <c r="AI13" s="5">
        <v>6</v>
      </c>
      <c r="AJ13" s="5">
        <v>4</v>
      </c>
      <c r="AK13" s="5">
        <v>0</v>
      </c>
      <c r="AL13" s="5">
        <v>0</v>
      </c>
      <c r="AM13" s="5">
        <v>61</v>
      </c>
      <c r="AO13" s="3" t="s">
        <v>128</v>
      </c>
      <c r="AP13" s="3" t="s">
        <v>129</v>
      </c>
      <c r="AQ13" s="3"/>
      <c r="AR13" s="3">
        <v>6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3">
        <v>5</v>
      </c>
      <c r="BD13" s="5">
        <v>0</v>
      </c>
      <c r="BE13" s="5">
        <v>0</v>
      </c>
      <c r="BF13" s="5">
        <v>0</v>
      </c>
      <c r="BG13" s="5">
        <v>0</v>
      </c>
      <c r="BH13" s="3">
        <v>0</v>
      </c>
      <c r="BI13" s="3">
        <v>0</v>
      </c>
      <c r="BJ13" s="3">
        <v>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5">
        <v>0</v>
      </c>
      <c r="BQ13" s="5">
        <v>1</v>
      </c>
      <c r="BR13" s="3">
        <v>0</v>
      </c>
      <c r="BS13" s="5">
        <v>0</v>
      </c>
      <c r="BT13" s="5">
        <v>0</v>
      </c>
      <c r="BU13" s="3">
        <v>2</v>
      </c>
      <c r="BV13" s="3">
        <v>2</v>
      </c>
      <c r="BW13" s="5">
        <v>0</v>
      </c>
      <c r="BX13" s="5">
        <v>0</v>
      </c>
      <c r="BY13" s="3">
        <v>0</v>
      </c>
      <c r="BZ13" s="3">
        <v>0</v>
      </c>
      <c r="CA13" s="3">
        <v>0</v>
      </c>
      <c r="CB13" s="5">
        <v>0</v>
      </c>
      <c r="CC13" s="5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1</v>
      </c>
      <c r="CM13" s="3">
        <v>0</v>
      </c>
      <c r="CN13" s="3">
        <v>0</v>
      </c>
      <c r="CO13" s="3">
        <v>0</v>
      </c>
      <c r="CP13" s="3">
        <v>1</v>
      </c>
      <c r="CQ13" s="3">
        <v>0</v>
      </c>
      <c r="CR13" s="3">
        <v>0</v>
      </c>
      <c r="CS13" s="3">
        <v>0</v>
      </c>
      <c r="CT13" s="3">
        <v>0</v>
      </c>
      <c r="CU13" s="5">
        <v>0</v>
      </c>
      <c r="CV13" s="3">
        <v>0</v>
      </c>
      <c r="CW13" s="5">
        <v>0</v>
      </c>
      <c r="CX13" s="5">
        <v>0</v>
      </c>
      <c r="CY13" s="5">
        <v>0</v>
      </c>
      <c r="CZ13" s="5">
        <v>0</v>
      </c>
      <c r="DA13" s="5">
        <v>1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/>
    </row>
    <row r="14" spans="1:129" ht="15" customHeight="1">
      <c r="A14" s="45" t="s">
        <v>253</v>
      </c>
      <c r="B14" s="6">
        <v>44630</v>
      </c>
      <c r="C14" s="3" t="s">
        <v>126</v>
      </c>
      <c r="D14" s="8" t="s">
        <v>127</v>
      </c>
      <c r="E14" s="3">
        <v>3</v>
      </c>
      <c r="F14" s="3">
        <v>0</v>
      </c>
      <c r="G14" s="3">
        <v>3</v>
      </c>
      <c r="H14" s="3">
        <v>0</v>
      </c>
      <c r="I14" s="3">
        <v>0</v>
      </c>
      <c r="J14" s="3">
        <v>0</v>
      </c>
      <c r="K14" s="3">
        <v>43</v>
      </c>
      <c r="L14" s="3">
        <v>18</v>
      </c>
      <c r="M14" s="3">
        <v>25</v>
      </c>
      <c r="N14" s="3">
        <v>0</v>
      </c>
      <c r="O14" s="3">
        <f t="shared" si="0"/>
        <v>43</v>
      </c>
      <c r="P14" s="3" t="s">
        <v>112</v>
      </c>
      <c r="Q14" s="3" t="s">
        <v>113</v>
      </c>
      <c r="R14" s="5">
        <v>40</v>
      </c>
      <c r="S14" s="5">
        <v>3</v>
      </c>
      <c r="U14" s="5">
        <v>0</v>
      </c>
      <c r="V14" s="4">
        <v>0</v>
      </c>
      <c r="W14" s="4">
        <v>3</v>
      </c>
      <c r="X14" s="4">
        <v>33</v>
      </c>
      <c r="Y14" s="4">
        <v>4</v>
      </c>
      <c r="Z14" s="4">
        <v>0</v>
      </c>
      <c r="AA14" s="4">
        <v>0</v>
      </c>
      <c r="AB14" s="4">
        <v>0</v>
      </c>
      <c r="AC14" s="4">
        <v>0</v>
      </c>
      <c r="AD14" s="5">
        <v>0</v>
      </c>
      <c r="AE14" s="5">
        <v>0</v>
      </c>
      <c r="AF14" s="5">
        <v>40</v>
      </c>
      <c r="AG14" s="3"/>
      <c r="AH14" s="5">
        <v>33</v>
      </c>
      <c r="AI14" s="5">
        <v>6</v>
      </c>
      <c r="AJ14" s="5">
        <v>1</v>
      </c>
      <c r="AK14" s="5">
        <v>0</v>
      </c>
      <c r="AL14" s="5">
        <v>0</v>
      </c>
      <c r="AM14" s="5">
        <v>40</v>
      </c>
      <c r="AO14" s="3" t="s">
        <v>130</v>
      </c>
      <c r="AP14" s="5" t="s">
        <v>131</v>
      </c>
      <c r="AQ14" s="3"/>
      <c r="AR14" s="3">
        <v>6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3">
        <v>5</v>
      </c>
      <c r="BD14" s="5">
        <v>0</v>
      </c>
      <c r="BE14" s="5">
        <v>0</v>
      </c>
      <c r="BF14" s="5">
        <v>0</v>
      </c>
      <c r="BG14" s="5">
        <v>0</v>
      </c>
      <c r="BH14" s="3">
        <v>0</v>
      </c>
      <c r="BI14" s="5">
        <v>1</v>
      </c>
      <c r="BJ14" s="5">
        <v>1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5">
        <v>0</v>
      </c>
      <c r="BQ14" s="5">
        <v>1</v>
      </c>
      <c r="BR14" s="3">
        <v>0</v>
      </c>
      <c r="BS14" s="5">
        <v>0</v>
      </c>
      <c r="BT14" s="5">
        <v>0</v>
      </c>
      <c r="BU14" s="3">
        <v>0</v>
      </c>
      <c r="BV14" s="5">
        <v>1</v>
      </c>
      <c r="BW14" s="5">
        <v>0</v>
      </c>
      <c r="BX14" s="3">
        <v>0</v>
      </c>
      <c r="BY14" s="3">
        <v>0</v>
      </c>
      <c r="BZ14" s="5">
        <v>1</v>
      </c>
      <c r="CA14" s="3">
        <v>0</v>
      </c>
      <c r="CB14" s="5">
        <v>0</v>
      </c>
      <c r="CC14" s="5">
        <v>0</v>
      </c>
      <c r="CD14" s="3">
        <v>0</v>
      </c>
      <c r="CE14" s="3">
        <v>0</v>
      </c>
      <c r="CF14" s="3">
        <v>0</v>
      </c>
      <c r="CG14" s="3">
        <v>0</v>
      </c>
      <c r="CH14" s="5">
        <v>1</v>
      </c>
      <c r="CI14" s="3">
        <v>0</v>
      </c>
      <c r="CJ14" s="3">
        <v>0</v>
      </c>
      <c r="CK14" s="3">
        <v>0</v>
      </c>
      <c r="CL14" s="5">
        <v>1</v>
      </c>
      <c r="CM14" s="3">
        <v>0</v>
      </c>
      <c r="CN14" s="3">
        <v>0</v>
      </c>
      <c r="CO14" s="3">
        <v>0</v>
      </c>
      <c r="CP14" s="3">
        <v>0</v>
      </c>
      <c r="CQ14" s="3">
        <v>1</v>
      </c>
      <c r="CR14" s="3">
        <v>1</v>
      </c>
      <c r="CS14" s="5">
        <v>0</v>
      </c>
      <c r="CT14" s="3">
        <v>1</v>
      </c>
      <c r="CU14" s="5">
        <v>0</v>
      </c>
      <c r="CV14" s="3">
        <v>0</v>
      </c>
      <c r="CW14" s="5">
        <v>1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</v>
      </c>
      <c r="DD14" s="5">
        <v>1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/>
    </row>
    <row r="15" spans="1:129" ht="15" customHeight="1">
      <c r="A15" s="45" t="s">
        <v>254</v>
      </c>
      <c r="B15" s="6">
        <v>44631</v>
      </c>
      <c r="C15" s="3" t="s">
        <v>126</v>
      </c>
      <c r="D15" s="8" t="s">
        <v>127</v>
      </c>
      <c r="E15" s="3">
        <v>3</v>
      </c>
      <c r="F15" s="3">
        <v>0</v>
      </c>
      <c r="G15" s="3">
        <v>3</v>
      </c>
      <c r="H15" s="3">
        <v>0</v>
      </c>
      <c r="I15" s="3">
        <v>0</v>
      </c>
      <c r="J15" s="3">
        <v>0</v>
      </c>
      <c r="K15" s="3">
        <v>66</v>
      </c>
      <c r="L15" s="3">
        <v>28</v>
      </c>
      <c r="M15" s="3">
        <v>38</v>
      </c>
      <c r="N15" s="3">
        <v>0</v>
      </c>
      <c r="O15" s="3">
        <f t="shared" si="0"/>
        <v>66</v>
      </c>
      <c r="P15" s="3" t="s">
        <v>112</v>
      </c>
      <c r="Q15" s="3" t="s">
        <v>113</v>
      </c>
      <c r="R15" s="5">
        <v>54</v>
      </c>
      <c r="S15" s="5">
        <v>4</v>
      </c>
      <c r="U15" s="5">
        <v>2</v>
      </c>
      <c r="V15" s="4">
        <v>0</v>
      </c>
      <c r="W15" s="4">
        <v>0</v>
      </c>
      <c r="X15" s="4">
        <v>9</v>
      </c>
      <c r="Y15" s="4">
        <v>40</v>
      </c>
      <c r="Z15" s="4">
        <v>3</v>
      </c>
      <c r="AA15" s="4">
        <v>0</v>
      </c>
      <c r="AB15" s="4">
        <v>0</v>
      </c>
      <c r="AC15" s="4">
        <v>0</v>
      </c>
      <c r="AD15" s="5">
        <v>0</v>
      </c>
      <c r="AE15" s="5">
        <v>0</v>
      </c>
      <c r="AF15" s="5">
        <v>54</v>
      </c>
      <c r="AG15" s="3"/>
      <c r="AH15" s="5">
        <v>39</v>
      </c>
      <c r="AI15" s="5">
        <v>13</v>
      </c>
      <c r="AJ15" s="5">
        <v>1</v>
      </c>
      <c r="AK15" s="5">
        <v>0</v>
      </c>
      <c r="AL15" s="5">
        <v>1</v>
      </c>
      <c r="AM15" s="5">
        <v>54</v>
      </c>
      <c r="AO15" s="5" t="s">
        <v>132</v>
      </c>
      <c r="AP15" s="3" t="s">
        <v>133</v>
      </c>
      <c r="AQ15" s="3"/>
      <c r="AR15" s="3">
        <v>7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5</v>
      </c>
      <c r="BD15" s="5">
        <v>0</v>
      </c>
      <c r="BE15" s="5">
        <v>0</v>
      </c>
      <c r="BF15" s="5">
        <v>0</v>
      </c>
      <c r="BG15" s="5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2</v>
      </c>
      <c r="BP15" s="5">
        <v>0</v>
      </c>
      <c r="BQ15" s="3">
        <v>2</v>
      </c>
      <c r="BR15" s="3">
        <v>0</v>
      </c>
      <c r="BS15" s="5">
        <v>0</v>
      </c>
      <c r="BT15" s="5">
        <v>0</v>
      </c>
      <c r="BU15" s="3">
        <v>0</v>
      </c>
      <c r="BV15" s="3">
        <v>0</v>
      </c>
      <c r="BW15" s="5">
        <v>0</v>
      </c>
      <c r="BX15" s="3">
        <v>0</v>
      </c>
      <c r="BY15" s="3">
        <v>0</v>
      </c>
      <c r="BZ15" s="3">
        <v>0</v>
      </c>
      <c r="CA15" s="3">
        <v>0</v>
      </c>
      <c r="CB15" s="5">
        <v>0</v>
      </c>
      <c r="CC15" s="5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/>
      <c r="CK15" s="3">
        <v>0</v>
      </c>
      <c r="CL15" s="3">
        <v>0</v>
      </c>
      <c r="CM15" s="5">
        <v>0</v>
      </c>
      <c r="CN15" s="3">
        <v>0</v>
      </c>
      <c r="CO15" s="3">
        <v>0</v>
      </c>
      <c r="CP15" s="3">
        <v>0</v>
      </c>
      <c r="CQ15" s="5">
        <v>1</v>
      </c>
      <c r="CR15" s="3">
        <v>0</v>
      </c>
      <c r="CS15" s="5">
        <v>1</v>
      </c>
      <c r="CT15" s="3">
        <v>0</v>
      </c>
      <c r="CU15" s="5">
        <v>0</v>
      </c>
      <c r="CV15" s="3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/>
    </row>
    <row r="16" spans="1:129" ht="15" customHeight="1">
      <c r="A16" s="45" t="s">
        <v>255</v>
      </c>
      <c r="B16" s="11">
        <v>44635</v>
      </c>
      <c r="C16" s="3" t="s">
        <v>134</v>
      </c>
      <c r="D16" s="12" t="s">
        <v>123</v>
      </c>
      <c r="E16" s="3">
        <v>2</v>
      </c>
      <c r="F16" s="3">
        <v>2</v>
      </c>
      <c r="G16" s="3">
        <v>0</v>
      </c>
      <c r="H16" s="3">
        <v>0</v>
      </c>
      <c r="I16" s="3">
        <v>0</v>
      </c>
      <c r="J16" s="3">
        <v>0</v>
      </c>
      <c r="K16" s="3">
        <v>49</v>
      </c>
      <c r="L16" s="3">
        <v>24</v>
      </c>
      <c r="M16" s="3">
        <v>25</v>
      </c>
      <c r="N16" s="3">
        <v>0</v>
      </c>
      <c r="O16" s="3">
        <f t="shared" si="0"/>
        <v>49</v>
      </c>
      <c r="P16" s="3" t="s">
        <v>112</v>
      </c>
      <c r="Q16" s="3" t="s">
        <v>113</v>
      </c>
      <c r="R16" s="5">
        <v>46</v>
      </c>
      <c r="S16" s="5">
        <v>3</v>
      </c>
      <c r="U16" s="5">
        <v>0</v>
      </c>
      <c r="V16" s="4">
        <v>0</v>
      </c>
      <c r="W16" s="4">
        <v>0</v>
      </c>
      <c r="X16" s="4">
        <v>11</v>
      </c>
      <c r="Y16" s="4">
        <v>35</v>
      </c>
      <c r="Z16" s="4">
        <v>0</v>
      </c>
      <c r="AA16" s="4">
        <v>0</v>
      </c>
      <c r="AB16" s="4">
        <v>0</v>
      </c>
      <c r="AC16" s="4">
        <v>0</v>
      </c>
      <c r="AD16" s="5">
        <v>0</v>
      </c>
      <c r="AE16" s="5">
        <v>0</v>
      </c>
      <c r="AF16" s="5">
        <v>46</v>
      </c>
      <c r="AG16" s="3"/>
      <c r="AH16" s="5">
        <v>35</v>
      </c>
      <c r="AI16" s="5">
        <v>7</v>
      </c>
      <c r="AJ16" s="5">
        <v>4</v>
      </c>
      <c r="AK16" s="5">
        <v>0</v>
      </c>
      <c r="AL16" s="5">
        <v>0</v>
      </c>
      <c r="AM16" s="5">
        <v>46</v>
      </c>
      <c r="AO16" s="3" t="s">
        <v>135</v>
      </c>
      <c r="AP16" s="3" t="s">
        <v>136</v>
      </c>
      <c r="AQ16" s="3"/>
      <c r="AR16" s="3">
        <v>3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3">
        <v>4</v>
      </c>
      <c r="BD16" s="5">
        <v>0</v>
      </c>
      <c r="BE16" s="5">
        <v>0</v>
      </c>
      <c r="BF16" s="5">
        <v>0</v>
      </c>
      <c r="BG16" s="5">
        <v>0</v>
      </c>
      <c r="BH16" s="3">
        <v>1</v>
      </c>
      <c r="BI16" s="3">
        <v>0</v>
      </c>
      <c r="BJ16" s="3">
        <v>7</v>
      </c>
      <c r="BK16" s="3">
        <v>0</v>
      </c>
      <c r="BL16" s="3">
        <v>0</v>
      </c>
      <c r="BM16" s="3">
        <v>0</v>
      </c>
      <c r="BN16" s="3">
        <v>3</v>
      </c>
      <c r="BO16" s="3">
        <v>0</v>
      </c>
      <c r="BP16" s="5">
        <v>0</v>
      </c>
      <c r="BQ16" s="3">
        <v>0</v>
      </c>
      <c r="BR16" s="3">
        <v>0</v>
      </c>
      <c r="BS16" s="5">
        <v>0</v>
      </c>
      <c r="BT16" s="5">
        <v>0</v>
      </c>
      <c r="BU16" s="3">
        <v>0</v>
      </c>
      <c r="BV16" s="3">
        <v>1</v>
      </c>
      <c r="BW16" s="5">
        <v>0</v>
      </c>
      <c r="BX16" s="3">
        <v>0</v>
      </c>
      <c r="BY16" s="5">
        <v>1</v>
      </c>
      <c r="BZ16" s="3">
        <v>0</v>
      </c>
      <c r="CA16" s="3">
        <v>0</v>
      </c>
      <c r="CB16" s="5">
        <v>0</v>
      </c>
      <c r="CC16" s="5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5">
        <v>0</v>
      </c>
      <c r="CT16" s="5">
        <v>1</v>
      </c>
      <c r="CU16" s="5">
        <v>0</v>
      </c>
      <c r="CV16" s="3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/>
    </row>
    <row r="17" spans="1:129" ht="15" customHeight="1">
      <c r="A17" s="47">
        <v>9</v>
      </c>
      <c r="B17" s="6">
        <v>44641</v>
      </c>
      <c r="C17" s="5" t="s">
        <v>137</v>
      </c>
      <c r="D17" s="3" t="s">
        <v>138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  <c r="K17" s="3">
        <v>43</v>
      </c>
      <c r="L17" s="3">
        <v>18</v>
      </c>
      <c r="M17" s="3">
        <v>25</v>
      </c>
      <c r="N17" s="3">
        <v>0</v>
      </c>
      <c r="O17" s="3">
        <f t="shared" si="0"/>
        <v>43</v>
      </c>
      <c r="P17" s="3" t="s">
        <v>139</v>
      </c>
      <c r="Q17" s="3" t="s">
        <v>113</v>
      </c>
      <c r="R17" s="5">
        <v>17</v>
      </c>
      <c r="S17" s="5">
        <v>1</v>
      </c>
      <c r="U17" s="5">
        <v>0</v>
      </c>
      <c r="V17" s="3">
        <v>0</v>
      </c>
      <c r="W17" s="4">
        <v>0</v>
      </c>
      <c r="X17" s="5">
        <v>17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5">
        <v>0</v>
      </c>
      <c r="AF17" s="5">
        <v>17</v>
      </c>
      <c r="AG17" s="3"/>
      <c r="AH17" s="4">
        <v>15</v>
      </c>
      <c r="AI17" s="4">
        <v>2</v>
      </c>
      <c r="AJ17" s="5">
        <v>0</v>
      </c>
      <c r="AK17" s="5">
        <v>0</v>
      </c>
      <c r="AL17" s="5">
        <v>0</v>
      </c>
      <c r="AM17" s="5">
        <v>17</v>
      </c>
      <c r="AO17" s="3" t="s">
        <v>140</v>
      </c>
      <c r="AP17" s="3" t="s">
        <v>141</v>
      </c>
      <c r="AQ17" s="3"/>
      <c r="AR17" s="3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3">
        <v>2</v>
      </c>
      <c r="BD17" s="5">
        <v>0</v>
      </c>
      <c r="BE17" s="5">
        <v>0</v>
      </c>
      <c r="BF17" s="5">
        <v>0</v>
      </c>
      <c r="BG17" s="5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1</v>
      </c>
      <c r="BN17" s="3">
        <v>0</v>
      </c>
      <c r="BO17" s="3">
        <v>0</v>
      </c>
      <c r="BP17" s="5">
        <v>0</v>
      </c>
      <c r="BQ17" s="3">
        <v>0</v>
      </c>
      <c r="BR17" s="3">
        <v>0</v>
      </c>
      <c r="BS17" s="5">
        <v>0</v>
      </c>
      <c r="BT17" s="5">
        <v>0</v>
      </c>
      <c r="BU17" s="3">
        <v>0</v>
      </c>
      <c r="BV17" s="3">
        <v>0</v>
      </c>
      <c r="BW17" s="5">
        <v>0</v>
      </c>
      <c r="BX17" s="3">
        <v>0</v>
      </c>
      <c r="BY17" s="3">
        <v>0</v>
      </c>
      <c r="BZ17" s="3">
        <v>0</v>
      </c>
      <c r="CA17" s="3">
        <v>0</v>
      </c>
      <c r="CB17" s="5">
        <v>0</v>
      </c>
      <c r="CC17" s="5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5">
        <v>0</v>
      </c>
      <c r="CV17" s="3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1</v>
      </c>
      <c r="DF17" s="5">
        <v>1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/>
    </row>
    <row r="18" spans="1:129" ht="15" customHeight="1">
      <c r="A18" s="45" t="s">
        <v>256</v>
      </c>
      <c r="B18" s="6">
        <v>44642</v>
      </c>
      <c r="C18" s="3" t="s">
        <v>142</v>
      </c>
      <c r="D18" s="3" t="s">
        <v>143</v>
      </c>
      <c r="E18" s="3">
        <v>2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45</v>
      </c>
      <c r="L18" s="3">
        <v>17</v>
      </c>
      <c r="M18" s="3">
        <v>28</v>
      </c>
      <c r="N18" s="3">
        <v>0</v>
      </c>
      <c r="O18" s="3">
        <f t="shared" si="0"/>
        <v>45</v>
      </c>
      <c r="P18" s="3" t="s">
        <v>112</v>
      </c>
      <c r="Q18" s="3" t="s">
        <v>113</v>
      </c>
      <c r="R18" s="5">
        <v>26</v>
      </c>
      <c r="S18" s="5">
        <v>1</v>
      </c>
      <c r="U18" s="5">
        <v>0</v>
      </c>
      <c r="V18" s="4">
        <v>0</v>
      </c>
      <c r="W18" s="4">
        <v>0</v>
      </c>
      <c r="X18" s="4">
        <v>0</v>
      </c>
      <c r="Y18" s="4">
        <v>3</v>
      </c>
      <c r="Z18" s="4">
        <v>21</v>
      </c>
      <c r="AA18" s="4">
        <v>2</v>
      </c>
      <c r="AB18" s="4">
        <v>0</v>
      </c>
      <c r="AC18" s="4">
        <v>0</v>
      </c>
      <c r="AD18" s="4">
        <v>0</v>
      </c>
      <c r="AE18" s="4">
        <v>0</v>
      </c>
      <c r="AF18" s="4">
        <v>26</v>
      </c>
      <c r="AH18" s="4">
        <v>12</v>
      </c>
      <c r="AI18" s="4">
        <v>14</v>
      </c>
      <c r="AJ18" s="4">
        <v>0</v>
      </c>
      <c r="AK18" s="4">
        <v>0</v>
      </c>
      <c r="AL18" s="4">
        <v>0</v>
      </c>
      <c r="AM18" s="4">
        <v>26</v>
      </c>
      <c r="AO18" s="4" t="s">
        <v>144</v>
      </c>
      <c r="AP18" s="4" t="s">
        <v>145</v>
      </c>
      <c r="AR18" s="4">
        <v>1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1</v>
      </c>
      <c r="BC18" s="4">
        <v>7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0</v>
      </c>
      <c r="BJ18" s="4">
        <v>1</v>
      </c>
      <c r="BK18" s="4">
        <v>0</v>
      </c>
      <c r="BL18" s="4">
        <v>0</v>
      </c>
      <c r="BM18" s="4">
        <v>1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2</v>
      </c>
      <c r="BY18" s="4">
        <v>1</v>
      </c>
      <c r="BZ18" s="4">
        <v>0</v>
      </c>
      <c r="CA18" s="4">
        <v>0</v>
      </c>
      <c r="CB18" s="4">
        <v>0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1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/>
    </row>
    <row r="19" spans="1:129" ht="15" customHeight="1">
      <c r="B19" s="32">
        <v>44643</v>
      </c>
      <c r="C19" s="27" t="s">
        <v>142</v>
      </c>
      <c r="D19" s="27" t="s">
        <v>143</v>
      </c>
      <c r="E19" s="30">
        <v>2</v>
      </c>
      <c r="F19" s="33">
        <v>0</v>
      </c>
      <c r="G19" s="27">
        <v>0</v>
      </c>
      <c r="H19" s="27">
        <v>2</v>
      </c>
      <c r="I19" s="27">
        <v>0</v>
      </c>
      <c r="J19" s="27">
        <v>0</v>
      </c>
      <c r="K19" s="27">
        <v>41</v>
      </c>
      <c r="L19" s="27">
        <v>22</v>
      </c>
      <c r="M19" s="27">
        <v>19</v>
      </c>
      <c r="N19" s="27">
        <v>0</v>
      </c>
      <c r="O19" s="27">
        <f t="shared" si="0"/>
        <v>41</v>
      </c>
      <c r="P19" s="27" t="s">
        <v>112</v>
      </c>
      <c r="Q19" s="26" t="s">
        <v>246</v>
      </c>
      <c r="R19" s="27"/>
      <c r="S19" s="27"/>
      <c r="U19" s="27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O19" s="26" t="s">
        <v>147</v>
      </c>
      <c r="AP19" s="26" t="s">
        <v>148</v>
      </c>
      <c r="AQ19" s="26"/>
      <c r="AR19" s="30">
        <v>6</v>
      </c>
      <c r="AS19" s="26">
        <v>0</v>
      </c>
      <c r="AT19" s="30">
        <v>0</v>
      </c>
      <c r="AU19" s="26">
        <v>0</v>
      </c>
      <c r="AV19" s="30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4</v>
      </c>
      <c r="BD19" s="26">
        <v>0</v>
      </c>
      <c r="BE19" s="26">
        <v>0</v>
      </c>
      <c r="BF19" s="26">
        <v>0</v>
      </c>
      <c r="BG19" s="26">
        <v>0</v>
      </c>
      <c r="BH19" s="26">
        <v>2</v>
      </c>
      <c r="BI19" s="26">
        <v>1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1</v>
      </c>
      <c r="BP19" s="26">
        <v>0</v>
      </c>
      <c r="BQ19" s="26">
        <v>0</v>
      </c>
      <c r="BR19" s="26">
        <v>0</v>
      </c>
      <c r="BS19" s="26">
        <v>0</v>
      </c>
      <c r="BT19" s="26">
        <v>0</v>
      </c>
      <c r="BU19" s="26">
        <v>0</v>
      </c>
      <c r="BV19" s="26">
        <v>0</v>
      </c>
      <c r="BW19" s="26">
        <v>0</v>
      </c>
      <c r="BX19" s="26">
        <v>1</v>
      </c>
      <c r="BY19" s="26">
        <v>0</v>
      </c>
      <c r="BZ19" s="26">
        <v>0</v>
      </c>
      <c r="CA19" s="26">
        <v>0</v>
      </c>
      <c r="CB19" s="26">
        <v>0</v>
      </c>
      <c r="CC19" s="26">
        <v>0</v>
      </c>
      <c r="CD19" s="26">
        <v>1</v>
      </c>
      <c r="CE19" s="26">
        <v>0</v>
      </c>
      <c r="CF19" s="26">
        <v>0</v>
      </c>
      <c r="CG19" s="26">
        <v>1</v>
      </c>
      <c r="CH19" s="26">
        <v>0</v>
      </c>
      <c r="CI19" s="26">
        <v>0</v>
      </c>
      <c r="CJ19" s="26">
        <v>0</v>
      </c>
      <c r="CK19" s="26">
        <v>0</v>
      </c>
      <c r="CL19" s="26">
        <v>1</v>
      </c>
      <c r="CM19" s="26">
        <v>0</v>
      </c>
      <c r="CN19" s="26">
        <v>0</v>
      </c>
      <c r="CO19" s="26">
        <v>0</v>
      </c>
      <c r="CP19" s="26">
        <v>2</v>
      </c>
      <c r="CQ19" s="26">
        <v>0</v>
      </c>
      <c r="CR19" s="26">
        <v>0</v>
      </c>
      <c r="CS19" s="26">
        <v>0</v>
      </c>
      <c r="CT19" s="30">
        <v>0</v>
      </c>
      <c r="CU19" s="26">
        <v>0</v>
      </c>
      <c r="CV19" s="26">
        <v>0</v>
      </c>
      <c r="CW19" s="26">
        <v>0</v>
      </c>
      <c r="CX19" s="26">
        <v>0</v>
      </c>
      <c r="CY19" s="26">
        <v>0</v>
      </c>
      <c r="CZ19" s="26">
        <v>0</v>
      </c>
      <c r="DA19" s="26">
        <v>0</v>
      </c>
      <c r="DB19" s="26">
        <v>0</v>
      </c>
      <c r="DC19" s="26">
        <v>0</v>
      </c>
      <c r="DD19" s="26">
        <v>0</v>
      </c>
      <c r="DE19" s="26">
        <v>0</v>
      </c>
      <c r="DF19" s="26">
        <v>0</v>
      </c>
      <c r="DG19" s="26">
        <v>1</v>
      </c>
      <c r="DH19" s="26">
        <v>1</v>
      </c>
      <c r="DI19" s="26">
        <v>1</v>
      </c>
      <c r="DJ19" s="26">
        <v>0</v>
      </c>
      <c r="DK19" s="26">
        <v>0</v>
      </c>
      <c r="DL19" s="26">
        <v>0</v>
      </c>
      <c r="DM19" s="26">
        <v>0</v>
      </c>
      <c r="DN19" s="26">
        <v>0</v>
      </c>
      <c r="DO19" s="26">
        <v>0</v>
      </c>
      <c r="DP19" s="26">
        <v>0</v>
      </c>
      <c r="DQ19" s="26">
        <v>0</v>
      </c>
      <c r="DR19" s="26">
        <v>0</v>
      </c>
      <c r="DS19" s="26">
        <v>0</v>
      </c>
      <c r="DT19" s="26">
        <v>0</v>
      </c>
      <c r="DU19" s="26">
        <v>0</v>
      </c>
      <c r="DV19" s="26">
        <v>0</v>
      </c>
      <c r="DW19" s="26">
        <v>0</v>
      </c>
      <c r="DX19" s="30">
        <v>0</v>
      </c>
      <c r="DY19" s="4"/>
    </row>
    <row r="20" spans="1:129" ht="15" customHeight="1">
      <c r="A20" s="45" t="s">
        <v>257</v>
      </c>
      <c r="B20" s="6">
        <v>44644</v>
      </c>
      <c r="C20" s="3" t="s">
        <v>142</v>
      </c>
      <c r="D20" s="3" t="s">
        <v>143</v>
      </c>
      <c r="E20" s="3">
        <v>3</v>
      </c>
      <c r="F20" s="3">
        <v>0</v>
      </c>
      <c r="G20" s="3">
        <v>0</v>
      </c>
      <c r="H20" s="3">
        <v>3</v>
      </c>
      <c r="I20" s="3">
        <v>0</v>
      </c>
      <c r="J20" s="3">
        <v>0</v>
      </c>
      <c r="K20" s="3">
        <v>76</v>
      </c>
      <c r="L20" s="3">
        <v>40</v>
      </c>
      <c r="M20" s="3">
        <v>36</v>
      </c>
      <c r="N20" s="3">
        <v>0</v>
      </c>
      <c r="O20" s="3">
        <f t="shared" si="0"/>
        <v>76</v>
      </c>
      <c r="P20" s="3" t="s">
        <v>112</v>
      </c>
      <c r="Q20" s="3" t="s">
        <v>113</v>
      </c>
      <c r="R20" s="5">
        <v>55</v>
      </c>
      <c r="S20" s="5">
        <v>4</v>
      </c>
      <c r="U20" s="5">
        <v>0</v>
      </c>
      <c r="V20" s="4">
        <v>0</v>
      </c>
      <c r="W20" s="4">
        <v>0</v>
      </c>
      <c r="X20" s="4">
        <v>0</v>
      </c>
      <c r="Y20" s="4">
        <v>0</v>
      </c>
      <c r="Z20" s="4">
        <v>11</v>
      </c>
      <c r="AA20" s="4">
        <v>42</v>
      </c>
      <c r="AB20" s="4">
        <v>2</v>
      </c>
      <c r="AC20" s="4">
        <v>0</v>
      </c>
      <c r="AD20" s="4">
        <v>0</v>
      </c>
      <c r="AE20" s="4">
        <v>0</v>
      </c>
      <c r="AF20" s="4">
        <v>55</v>
      </c>
      <c r="AH20" s="4">
        <v>31</v>
      </c>
      <c r="AI20" s="4">
        <v>18</v>
      </c>
      <c r="AJ20" s="4">
        <v>5</v>
      </c>
      <c r="AK20" s="4">
        <v>0</v>
      </c>
      <c r="AL20" s="4">
        <v>1</v>
      </c>
      <c r="AM20" s="4">
        <v>55</v>
      </c>
      <c r="AO20" s="4" t="s">
        <v>149</v>
      </c>
      <c r="AP20" s="4" t="s">
        <v>150</v>
      </c>
      <c r="AR20" s="4">
        <v>8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1</v>
      </c>
      <c r="BC20" s="4">
        <v>4</v>
      </c>
      <c r="BD20" s="4">
        <v>0</v>
      </c>
      <c r="BE20" s="4">
        <v>0</v>
      </c>
      <c r="BF20" s="4">
        <v>0</v>
      </c>
      <c r="BG20" s="4">
        <v>0</v>
      </c>
      <c r="BH20" s="4">
        <v>5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4</v>
      </c>
      <c r="CO20" s="4">
        <v>1</v>
      </c>
      <c r="CP20" s="4">
        <v>2</v>
      </c>
      <c r="CQ20" s="4">
        <v>0</v>
      </c>
      <c r="CR20" s="4">
        <v>0</v>
      </c>
      <c r="CS20" s="4">
        <v>1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1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/>
    </row>
    <row r="21" spans="1:129" ht="15" customHeight="1">
      <c r="A21" s="47">
        <v>12</v>
      </c>
      <c r="B21" s="6">
        <v>44645</v>
      </c>
      <c r="C21" s="3" t="s">
        <v>151</v>
      </c>
      <c r="D21" s="3" t="s">
        <v>152</v>
      </c>
      <c r="E21" s="3">
        <v>2</v>
      </c>
      <c r="F21" s="3">
        <v>2</v>
      </c>
      <c r="G21" s="3">
        <v>0</v>
      </c>
      <c r="H21" s="3">
        <v>0</v>
      </c>
      <c r="I21" s="3">
        <v>0</v>
      </c>
      <c r="J21" s="3">
        <v>0</v>
      </c>
      <c r="K21" s="3">
        <v>56</v>
      </c>
      <c r="L21" s="3">
        <v>56</v>
      </c>
      <c r="M21" s="3">
        <v>0</v>
      </c>
      <c r="N21" s="3">
        <v>0</v>
      </c>
      <c r="O21" s="3">
        <f t="shared" si="0"/>
        <v>56</v>
      </c>
      <c r="P21" s="3" t="s">
        <v>112</v>
      </c>
      <c r="Q21" s="3" t="s">
        <v>113</v>
      </c>
      <c r="R21" s="5">
        <v>30</v>
      </c>
      <c r="S21" s="5">
        <v>1</v>
      </c>
      <c r="U21" s="5">
        <v>0</v>
      </c>
      <c r="V21" s="4">
        <v>0</v>
      </c>
      <c r="W21" s="4">
        <v>0</v>
      </c>
      <c r="X21" s="4">
        <v>4</v>
      </c>
      <c r="Y21" s="4">
        <v>22</v>
      </c>
      <c r="Z21" s="4">
        <v>4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30</v>
      </c>
      <c r="AH21" s="4">
        <v>20</v>
      </c>
      <c r="AI21" s="4">
        <v>8</v>
      </c>
      <c r="AJ21" s="4">
        <v>0</v>
      </c>
      <c r="AK21" s="4">
        <v>1</v>
      </c>
      <c r="AL21" s="4">
        <v>1</v>
      </c>
      <c r="AM21" s="4">
        <v>30</v>
      </c>
      <c r="AO21" s="4" t="s">
        <v>153</v>
      </c>
      <c r="AP21" s="4" t="s">
        <v>154</v>
      </c>
      <c r="AR21" s="4">
        <v>1</v>
      </c>
      <c r="AS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3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1</v>
      </c>
      <c r="CB21" s="4">
        <v>0</v>
      </c>
      <c r="CC21" s="4">
        <v>0</v>
      </c>
      <c r="CD21" s="4">
        <v>0</v>
      </c>
      <c r="CE21" s="4">
        <v>0</v>
      </c>
      <c r="CF21" s="4">
        <v>8</v>
      </c>
      <c r="CG21" s="4">
        <v>2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1</v>
      </c>
      <c r="DL21" s="4">
        <v>1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1</v>
      </c>
      <c r="DV21" s="4">
        <v>0</v>
      </c>
      <c r="DW21" s="4">
        <v>0</v>
      </c>
      <c r="DX21" s="4">
        <v>0</v>
      </c>
      <c r="DY21" s="4"/>
    </row>
    <row r="22" spans="1:129" ht="15" customHeight="1">
      <c r="A22" s="47">
        <v>13</v>
      </c>
      <c r="B22" s="6">
        <v>44648</v>
      </c>
      <c r="C22" s="5" t="s">
        <v>155</v>
      </c>
      <c r="D22" s="3" t="s">
        <v>156</v>
      </c>
      <c r="E22" s="3">
        <v>2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44</v>
      </c>
      <c r="L22" s="3">
        <v>44</v>
      </c>
      <c r="M22" s="3">
        <v>0</v>
      </c>
      <c r="N22" s="3">
        <v>0</v>
      </c>
      <c r="O22" s="3">
        <f t="shared" si="0"/>
        <v>44</v>
      </c>
      <c r="P22" s="3" t="s">
        <v>112</v>
      </c>
      <c r="Q22" s="3" t="s">
        <v>113</v>
      </c>
      <c r="R22" s="5">
        <v>16</v>
      </c>
      <c r="S22" s="5">
        <v>0</v>
      </c>
      <c r="U22" s="5">
        <v>0</v>
      </c>
      <c r="V22" s="4">
        <v>0</v>
      </c>
      <c r="W22" s="4">
        <v>0</v>
      </c>
      <c r="X22" s="4">
        <v>0</v>
      </c>
      <c r="Y22" s="4">
        <v>0</v>
      </c>
      <c r="Z22" s="4">
        <v>11</v>
      </c>
      <c r="AA22" s="4">
        <v>4</v>
      </c>
      <c r="AB22" s="4">
        <v>1</v>
      </c>
      <c r="AC22" s="4">
        <v>0</v>
      </c>
      <c r="AD22" s="4">
        <v>0</v>
      </c>
      <c r="AE22" s="4">
        <v>0</v>
      </c>
      <c r="AF22" s="4">
        <v>16</v>
      </c>
      <c r="AH22" s="4">
        <v>4</v>
      </c>
      <c r="AI22" s="4">
        <v>11</v>
      </c>
      <c r="AJ22" s="4">
        <v>1</v>
      </c>
      <c r="AK22" s="4">
        <v>0</v>
      </c>
      <c r="AL22" s="4">
        <v>0</v>
      </c>
      <c r="AM22" s="4">
        <v>16</v>
      </c>
      <c r="AO22" s="5" t="s">
        <v>157</v>
      </c>
      <c r="AP22" s="3" t="s">
        <v>158</v>
      </c>
      <c r="AR22" s="3">
        <v>5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4</v>
      </c>
      <c r="BD22" s="5">
        <v>0</v>
      </c>
      <c r="BE22" s="5">
        <v>0</v>
      </c>
      <c r="BF22" s="5">
        <v>0</v>
      </c>
      <c r="BG22" s="5">
        <v>0</v>
      </c>
      <c r="BH22" s="5">
        <v>2</v>
      </c>
      <c r="BI22" s="3">
        <v>0</v>
      </c>
      <c r="BJ22" s="3">
        <v>1</v>
      </c>
      <c r="BK22" s="3">
        <v>0</v>
      </c>
      <c r="BL22" s="3">
        <v>0</v>
      </c>
      <c r="BM22" s="3">
        <v>0</v>
      </c>
      <c r="BN22" s="3">
        <v>1</v>
      </c>
      <c r="BO22" s="3">
        <v>0</v>
      </c>
      <c r="BP22" s="5">
        <v>0</v>
      </c>
      <c r="BQ22" s="3">
        <v>0</v>
      </c>
      <c r="BR22" s="3">
        <v>0</v>
      </c>
      <c r="BS22" s="5">
        <v>0</v>
      </c>
      <c r="BT22" s="5">
        <v>0</v>
      </c>
      <c r="BU22" s="3">
        <v>0</v>
      </c>
      <c r="BV22" s="3">
        <v>0</v>
      </c>
      <c r="BW22" s="5">
        <v>0</v>
      </c>
      <c r="BX22" s="3">
        <v>0</v>
      </c>
      <c r="BY22" s="3">
        <v>0</v>
      </c>
      <c r="BZ22" s="3">
        <v>0</v>
      </c>
      <c r="CA22" s="3">
        <v>0</v>
      </c>
      <c r="CB22" s="5">
        <v>0</v>
      </c>
      <c r="CC22" s="5">
        <v>0</v>
      </c>
      <c r="CD22" s="3">
        <v>0</v>
      </c>
      <c r="CE22" s="3">
        <v>0</v>
      </c>
      <c r="CF22" s="5">
        <v>1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5">
        <v>1</v>
      </c>
      <c r="CQ22" s="3">
        <v>0</v>
      </c>
      <c r="CR22" s="3">
        <v>0</v>
      </c>
      <c r="CS22" s="3">
        <v>0</v>
      </c>
      <c r="CT22" s="3">
        <v>0</v>
      </c>
      <c r="CU22" s="3">
        <v>1</v>
      </c>
      <c r="CV22" s="3">
        <v>1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1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/>
    </row>
    <row r="23" spans="1:129" ht="15" customHeight="1">
      <c r="A23" s="47">
        <v>14</v>
      </c>
      <c r="B23" s="6">
        <v>44649</v>
      </c>
      <c r="C23" s="5" t="s">
        <v>155</v>
      </c>
      <c r="D23" s="3" t="s">
        <v>156</v>
      </c>
      <c r="E23" s="3">
        <v>2</v>
      </c>
      <c r="F23" s="3">
        <v>2</v>
      </c>
      <c r="G23" s="3">
        <v>0</v>
      </c>
      <c r="H23" s="3">
        <v>0</v>
      </c>
      <c r="I23" s="3">
        <v>0</v>
      </c>
      <c r="J23" s="3">
        <v>0</v>
      </c>
      <c r="K23" s="3">
        <v>41</v>
      </c>
      <c r="L23" s="3">
        <v>41</v>
      </c>
      <c r="M23" s="3">
        <v>0</v>
      </c>
      <c r="N23" s="3">
        <v>0</v>
      </c>
      <c r="O23" s="3">
        <f t="shared" si="0"/>
        <v>41</v>
      </c>
      <c r="P23" s="3" t="s">
        <v>112</v>
      </c>
      <c r="Q23" s="3" t="s">
        <v>113</v>
      </c>
      <c r="R23" s="5">
        <v>21</v>
      </c>
      <c r="S23" s="5">
        <v>0</v>
      </c>
      <c r="U23" s="5">
        <v>0</v>
      </c>
      <c r="V23" s="4">
        <v>0</v>
      </c>
      <c r="W23" s="4">
        <v>0</v>
      </c>
      <c r="X23" s="4">
        <v>0</v>
      </c>
      <c r="Y23" s="4">
        <v>0</v>
      </c>
      <c r="Z23" s="4">
        <v>15</v>
      </c>
      <c r="AA23" s="4">
        <v>6</v>
      </c>
      <c r="AB23" s="4">
        <v>0</v>
      </c>
      <c r="AC23" s="4">
        <v>0</v>
      </c>
      <c r="AD23" s="4">
        <v>0</v>
      </c>
      <c r="AE23" s="4">
        <v>0</v>
      </c>
      <c r="AF23" s="4">
        <v>21</v>
      </c>
      <c r="AH23" s="4">
        <v>9</v>
      </c>
      <c r="AI23" s="4">
        <v>10</v>
      </c>
      <c r="AJ23" s="4">
        <v>1</v>
      </c>
      <c r="AK23" s="4">
        <v>0</v>
      </c>
      <c r="AL23" s="4">
        <v>1</v>
      </c>
      <c r="AM23" s="4">
        <v>21</v>
      </c>
      <c r="AO23" s="5" t="s">
        <v>159</v>
      </c>
      <c r="AP23" s="3" t="s">
        <v>160</v>
      </c>
      <c r="AR23" s="3">
        <v>4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1</v>
      </c>
      <c r="BC23" s="3">
        <v>2</v>
      </c>
      <c r="BD23" s="5">
        <v>0</v>
      </c>
      <c r="BE23" s="5">
        <v>0</v>
      </c>
      <c r="BF23" s="5">
        <v>0</v>
      </c>
      <c r="BG23" s="5">
        <v>0</v>
      </c>
      <c r="BH23" s="5">
        <v>3</v>
      </c>
      <c r="BI23" s="3">
        <v>0</v>
      </c>
      <c r="BJ23" s="3">
        <v>1</v>
      </c>
      <c r="BK23" s="3">
        <v>0</v>
      </c>
      <c r="BL23" s="3">
        <v>0</v>
      </c>
      <c r="BM23" s="3">
        <v>1</v>
      </c>
      <c r="BN23" s="3">
        <v>0</v>
      </c>
      <c r="BO23" s="3">
        <v>0</v>
      </c>
      <c r="BP23" s="5">
        <v>0</v>
      </c>
      <c r="BQ23" s="3">
        <v>0</v>
      </c>
      <c r="BR23" s="3">
        <v>0</v>
      </c>
      <c r="BS23" s="5">
        <v>0</v>
      </c>
      <c r="BT23" s="5">
        <v>0</v>
      </c>
      <c r="BU23" s="3">
        <v>1</v>
      </c>
      <c r="BV23" s="3">
        <v>0</v>
      </c>
      <c r="BW23" s="5">
        <v>0</v>
      </c>
      <c r="BX23" s="3">
        <v>2</v>
      </c>
      <c r="BY23" s="3">
        <v>0</v>
      </c>
      <c r="BZ23" s="3">
        <v>0</v>
      </c>
      <c r="CA23" s="3">
        <v>0</v>
      </c>
      <c r="CB23" s="5">
        <v>0</v>
      </c>
      <c r="CC23" s="5">
        <v>0</v>
      </c>
      <c r="CD23" s="3">
        <v>0</v>
      </c>
      <c r="CE23" s="3">
        <v>0</v>
      </c>
      <c r="CF23" s="5">
        <v>0</v>
      </c>
      <c r="CG23" s="3">
        <v>1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5">
        <v>1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1</v>
      </c>
      <c r="DN23" s="5">
        <v>1</v>
      </c>
      <c r="DO23" s="5">
        <v>1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/>
    </row>
    <row r="24" spans="1:129" ht="15" customHeight="1">
      <c r="A24" s="45" t="s">
        <v>258</v>
      </c>
      <c r="B24" s="6">
        <v>44651</v>
      </c>
      <c r="C24" s="3" t="s">
        <v>161</v>
      </c>
      <c r="D24" s="3" t="s">
        <v>162</v>
      </c>
      <c r="E24" s="3">
        <v>2</v>
      </c>
      <c r="F24" s="3">
        <v>0</v>
      </c>
      <c r="G24" s="3">
        <v>2</v>
      </c>
      <c r="H24" s="3">
        <v>0</v>
      </c>
      <c r="I24" s="3">
        <v>0</v>
      </c>
      <c r="J24" s="3">
        <v>0</v>
      </c>
      <c r="K24" s="3">
        <v>58</v>
      </c>
      <c r="L24" s="3">
        <v>30</v>
      </c>
      <c r="M24" s="3">
        <v>28</v>
      </c>
      <c r="N24" s="3">
        <v>0</v>
      </c>
      <c r="O24" s="3">
        <f t="shared" si="0"/>
        <v>58</v>
      </c>
      <c r="P24" s="3" t="s">
        <v>112</v>
      </c>
      <c r="Q24" s="3" t="s">
        <v>113</v>
      </c>
      <c r="R24" s="5">
        <v>57</v>
      </c>
      <c r="S24" s="5">
        <v>3</v>
      </c>
      <c r="U24" s="5">
        <v>0</v>
      </c>
      <c r="V24" s="4">
        <v>0</v>
      </c>
      <c r="W24" s="4">
        <v>0</v>
      </c>
      <c r="X24" s="4">
        <v>0</v>
      </c>
      <c r="Y24" s="4">
        <v>4</v>
      </c>
      <c r="Z24" s="4">
        <v>45</v>
      </c>
      <c r="AA24" s="4">
        <v>8</v>
      </c>
      <c r="AB24" s="4">
        <v>0</v>
      </c>
      <c r="AC24" s="4">
        <v>0</v>
      </c>
      <c r="AD24" s="4">
        <v>0</v>
      </c>
      <c r="AE24" s="4">
        <v>0</v>
      </c>
      <c r="AF24" s="4">
        <v>57</v>
      </c>
      <c r="AH24" s="4">
        <v>36</v>
      </c>
      <c r="AI24" s="4">
        <v>15</v>
      </c>
      <c r="AJ24" s="4">
        <v>5</v>
      </c>
      <c r="AK24" s="4">
        <v>1</v>
      </c>
      <c r="AL24" s="4">
        <v>0</v>
      </c>
      <c r="AM24" s="4">
        <v>57</v>
      </c>
      <c r="AO24" s="3" t="s">
        <v>163</v>
      </c>
      <c r="AP24" s="3" t="s">
        <v>164</v>
      </c>
      <c r="AR24" s="3">
        <v>8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3">
        <v>5</v>
      </c>
      <c r="BD24" s="5">
        <v>0</v>
      </c>
      <c r="BE24" s="5">
        <v>0</v>
      </c>
      <c r="BF24" s="5">
        <v>0</v>
      </c>
      <c r="BG24" s="5">
        <v>0</v>
      </c>
      <c r="BH24" s="5">
        <v>1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5">
        <v>1</v>
      </c>
      <c r="BO24" s="3">
        <v>0</v>
      </c>
      <c r="BP24" s="5">
        <v>0</v>
      </c>
      <c r="BQ24" s="3">
        <v>0</v>
      </c>
      <c r="BR24" s="3">
        <v>4</v>
      </c>
      <c r="BS24" s="5">
        <v>0</v>
      </c>
      <c r="BT24" s="5">
        <v>0</v>
      </c>
      <c r="BU24" s="3">
        <v>0</v>
      </c>
      <c r="BV24" s="3">
        <v>0</v>
      </c>
      <c r="BW24" s="5">
        <v>0</v>
      </c>
      <c r="BX24" s="3">
        <v>0</v>
      </c>
      <c r="BY24" s="3">
        <v>0</v>
      </c>
      <c r="BZ24" s="3">
        <v>0</v>
      </c>
      <c r="CA24" s="3">
        <v>0</v>
      </c>
      <c r="CB24" s="5">
        <v>0</v>
      </c>
      <c r="CC24" s="5">
        <v>0</v>
      </c>
      <c r="CD24" s="5">
        <v>1</v>
      </c>
      <c r="CE24" s="3">
        <v>0</v>
      </c>
      <c r="CF24" s="4">
        <v>0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1</v>
      </c>
      <c r="DQ24" s="4">
        <v>1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/>
    </row>
    <row r="25" spans="1:129" ht="15" customHeight="1">
      <c r="D25" s="2"/>
      <c r="O25" s="3"/>
      <c r="P25" s="3"/>
      <c r="U25" s="3"/>
    </row>
    <row r="26" spans="1:129" ht="15" customHeight="1">
      <c r="B26" s="44">
        <v>44652</v>
      </c>
      <c r="D26" s="13"/>
      <c r="O26" s="3"/>
    </row>
    <row r="27" spans="1:129" ht="15" customHeight="1">
      <c r="A27" s="45" t="s">
        <v>259</v>
      </c>
      <c r="B27" s="6">
        <v>44655</v>
      </c>
      <c r="C27" s="3" t="s">
        <v>165</v>
      </c>
      <c r="D27" s="3" t="s">
        <v>166</v>
      </c>
      <c r="E27" s="3">
        <v>2</v>
      </c>
      <c r="F27" s="3">
        <v>2</v>
      </c>
      <c r="G27" s="3">
        <v>0</v>
      </c>
      <c r="H27" s="3">
        <v>0</v>
      </c>
      <c r="I27" s="3">
        <v>0</v>
      </c>
      <c r="J27" s="3">
        <v>0</v>
      </c>
      <c r="K27" s="3">
        <v>54</v>
      </c>
      <c r="L27" s="3">
        <v>31</v>
      </c>
      <c r="M27" s="5">
        <v>23</v>
      </c>
      <c r="N27" s="3">
        <v>0</v>
      </c>
      <c r="O27" s="3">
        <f t="shared" ref="O27:O33" si="1">L27+M27+N27</f>
        <v>54</v>
      </c>
      <c r="P27" s="3" t="s">
        <v>112</v>
      </c>
      <c r="Q27" s="3" t="s">
        <v>113</v>
      </c>
      <c r="R27" s="5">
        <v>41</v>
      </c>
      <c r="S27" s="5">
        <v>3</v>
      </c>
      <c r="U27" s="5">
        <v>0</v>
      </c>
      <c r="V27" s="4">
        <v>0</v>
      </c>
      <c r="W27" s="4">
        <v>6</v>
      </c>
      <c r="X27" s="4">
        <v>30</v>
      </c>
      <c r="Y27" s="4">
        <v>5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41</v>
      </c>
      <c r="AH27" s="4">
        <v>24</v>
      </c>
      <c r="AI27" s="4">
        <v>11</v>
      </c>
      <c r="AJ27" s="4">
        <v>6</v>
      </c>
      <c r="AK27" s="4">
        <v>0</v>
      </c>
      <c r="AL27" s="4">
        <v>0</v>
      </c>
      <c r="AM27" s="4">
        <v>41</v>
      </c>
      <c r="AO27" s="5" t="s">
        <v>167</v>
      </c>
      <c r="AP27" s="5" t="s">
        <v>168</v>
      </c>
      <c r="AR27" s="5">
        <v>2</v>
      </c>
      <c r="AS27" s="5">
        <v>1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1</v>
      </c>
      <c r="BC27" s="3">
        <v>0</v>
      </c>
      <c r="BD27" s="5">
        <v>1</v>
      </c>
      <c r="BE27" s="5">
        <v>1</v>
      </c>
      <c r="BF27" s="5">
        <v>1</v>
      </c>
      <c r="BG27" s="5">
        <v>1</v>
      </c>
      <c r="BH27" s="3">
        <v>0</v>
      </c>
      <c r="BI27" s="3">
        <v>0</v>
      </c>
      <c r="BJ27" s="3">
        <v>0</v>
      </c>
      <c r="BK27" s="5">
        <v>1</v>
      </c>
      <c r="BL27" s="3">
        <v>0</v>
      </c>
      <c r="BM27" s="3">
        <v>0</v>
      </c>
      <c r="BN27" s="3">
        <v>0</v>
      </c>
      <c r="BO27" s="5">
        <v>1</v>
      </c>
      <c r="BP27" s="5">
        <v>0</v>
      </c>
      <c r="BQ27" s="3">
        <v>0</v>
      </c>
      <c r="BR27" s="3">
        <v>0</v>
      </c>
      <c r="BS27" s="5">
        <v>0</v>
      </c>
      <c r="BT27" s="5">
        <v>0</v>
      </c>
      <c r="BU27" s="3">
        <v>0</v>
      </c>
      <c r="BV27" s="3">
        <v>0</v>
      </c>
      <c r="BW27" s="5">
        <v>0</v>
      </c>
      <c r="BX27" s="5">
        <v>1</v>
      </c>
      <c r="BY27" s="3">
        <v>11</v>
      </c>
      <c r="BZ27" s="3">
        <v>4</v>
      </c>
      <c r="CA27" s="3">
        <v>3</v>
      </c>
      <c r="CB27" s="5">
        <v>0</v>
      </c>
      <c r="CC27" s="5">
        <v>0</v>
      </c>
      <c r="CD27" s="5">
        <v>1</v>
      </c>
      <c r="CE27" s="3">
        <v>0</v>
      </c>
      <c r="CF27" s="4">
        <v>4</v>
      </c>
      <c r="CG27" s="4">
        <v>1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1</v>
      </c>
      <c r="CO27" s="4">
        <v>1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1</v>
      </c>
      <c r="CV27" s="4">
        <v>1</v>
      </c>
      <c r="CW27" s="4">
        <v>1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1</v>
      </c>
      <c r="DI27" s="4">
        <v>0</v>
      </c>
      <c r="DJ27" s="4">
        <v>2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/>
    </row>
    <row r="28" spans="1:129" ht="15" customHeight="1">
      <c r="A28" s="45" t="s">
        <v>260</v>
      </c>
      <c r="B28" s="38">
        <v>44656</v>
      </c>
      <c r="C28" s="39" t="s">
        <v>169</v>
      </c>
      <c r="D28" s="39" t="s">
        <v>170</v>
      </c>
      <c r="E28" s="39">
        <v>2</v>
      </c>
      <c r="F28" s="39">
        <v>2</v>
      </c>
      <c r="G28" s="39">
        <v>0</v>
      </c>
      <c r="H28" s="39">
        <v>0</v>
      </c>
      <c r="I28" s="39">
        <v>0</v>
      </c>
      <c r="J28" s="39">
        <v>0</v>
      </c>
      <c r="K28" s="29">
        <v>45</v>
      </c>
      <c r="L28" s="39">
        <v>23</v>
      </c>
      <c r="M28" s="39">
        <v>22</v>
      </c>
      <c r="N28" s="39">
        <v>0</v>
      </c>
      <c r="O28" s="39">
        <f t="shared" si="1"/>
        <v>45</v>
      </c>
      <c r="P28" s="39" t="s">
        <v>112</v>
      </c>
      <c r="Q28" s="39" t="s">
        <v>113</v>
      </c>
      <c r="R28" s="29">
        <v>44</v>
      </c>
      <c r="S28" s="29">
        <v>2</v>
      </c>
      <c r="U28" s="29">
        <v>0</v>
      </c>
      <c r="V28" s="29">
        <v>0</v>
      </c>
      <c r="W28" s="29">
        <v>6</v>
      </c>
      <c r="X28" s="29">
        <v>35</v>
      </c>
      <c r="Y28" s="29">
        <v>3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44</v>
      </c>
      <c r="AG28" s="29"/>
      <c r="AH28" s="29">
        <v>31</v>
      </c>
      <c r="AI28" s="29">
        <v>10</v>
      </c>
      <c r="AJ28" s="29">
        <v>3</v>
      </c>
      <c r="AK28" s="29">
        <v>0</v>
      </c>
      <c r="AL28" s="29">
        <v>0</v>
      </c>
      <c r="AM28" s="29">
        <v>44</v>
      </c>
      <c r="AO28" s="29" t="s">
        <v>171</v>
      </c>
      <c r="AP28" s="29" t="s">
        <v>172</v>
      </c>
      <c r="AQ28" s="29"/>
      <c r="AR28" s="29">
        <v>4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29">
        <v>3</v>
      </c>
      <c r="BD28" s="29">
        <v>0</v>
      </c>
      <c r="BE28" s="29">
        <v>0</v>
      </c>
      <c r="BF28" s="29">
        <v>0</v>
      </c>
      <c r="BG28" s="29">
        <v>1</v>
      </c>
      <c r="BH28" s="29">
        <v>2</v>
      </c>
      <c r="BI28" s="39">
        <v>0</v>
      </c>
      <c r="BJ28" s="39">
        <v>0</v>
      </c>
      <c r="BK28" s="29">
        <v>4</v>
      </c>
      <c r="BL28" s="29">
        <v>1</v>
      </c>
      <c r="BM28" s="39">
        <v>0</v>
      </c>
      <c r="BN28" s="39">
        <v>0</v>
      </c>
      <c r="BO28" s="39">
        <v>0</v>
      </c>
      <c r="BP28" s="29">
        <v>1</v>
      </c>
      <c r="BQ28" s="39">
        <v>0</v>
      </c>
      <c r="BR28" s="39">
        <v>0</v>
      </c>
      <c r="BS28" s="29">
        <v>0</v>
      </c>
      <c r="BT28" s="29">
        <v>0</v>
      </c>
      <c r="BU28" s="39">
        <v>0</v>
      </c>
      <c r="BV28" s="39">
        <v>0</v>
      </c>
      <c r="BW28" s="29">
        <v>0</v>
      </c>
      <c r="BX28" s="39">
        <v>0</v>
      </c>
      <c r="BY28" s="29">
        <v>1</v>
      </c>
      <c r="BZ28" s="39">
        <v>0</v>
      </c>
      <c r="CA28" s="39">
        <v>0</v>
      </c>
      <c r="CB28" s="29">
        <v>0</v>
      </c>
      <c r="CC28" s="29">
        <v>0</v>
      </c>
      <c r="CD28" s="29">
        <v>7</v>
      </c>
      <c r="CE28" s="29">
        <v>0</v>
      </c>
      <c r="CF28" s="29">
        <v>1</v>
      </c>
      <c r="CG28" s="29">
        <v>0</v>
      </c>
      <c r="CH28" s="29">
        <v>0</v>
      </c>
      <c r="CI28" s="29">
        <v>0</v>
      </c>
      <c r="CJ28" s="29">
        <v>0</v>
      </c>
      <c r="CK28" s="29">
        <v>1</v>
      </c>
      <c r="CL28" s="29">
        <v>1</v>
      </c>
      <c r="CM28" s="29">
        <v>1</v>
      </c>
      <c r="CN28" s="29">
        <v>1</v>
      </c>
      <c r="CO28" s="29">
        <v>0</v>
      </c>
      <c r="CP28" s="29">
        <v>0</v>
      </c>
      <c r="CQ28" s="29">
        <v>0</v>
      </c>
      <c r="CR28" s="29">
        <v>0</v>
      </c>
      <c r="CS28" s="29">
        <v>1</v>
      </c>
      <c r="CT28" s="29">
        <v>0</v>
      </c>
      <c r="CU28" s="29">
        <v>0</v>
      </c>
      <c r="CV28" s="29">
        <v>1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1</v>
      </c>
      <c r="DF28" s="29">
        <v>0</v>
      </c>
      <c r="DG28" s="29">
        <v>0</v>
      </c>
      <c r="DH28" s="29">
        <v>0</v>
      </c>
      <c r="DI28" s="29">
        <v>0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0</v>
      </c>
      <c r="DT28" s="29">
        <v>0</v>
      </c>
      <c r="DU28" s="29">
        <v>0</v>
      </c>
      <c r="DV28" s="29">
        <v>0</v>
      </c>
      <c r="DW28" s="29">
        <v>0</v>
      </c>
      <c r="DX28" s="4">
        <v>0</v>
      </c>
      <c r="DY28" s="4"/>
    </row>
    <row r="29" spans="1:129" ht="15" customHeight="1">
      <c r="A29" s="30"/>
      <c r="B29" s="32">
        <v>44657</v>
      </c>
      <c r="C29" s="27" t="s">
        <v>165</v>
      </c>
      <c r="D29" s="27" t="s">
        <v>166</v>
      </c>
      <c r="E29" s="27">
        <v>1</v>
      </c>
      <c r="F29" s="27">
        <v>1</v>
      </c>
      <c r="G29" s="27">
        <v>0</v>
      </c>
      <c r="H29" s="27">
        <v>0</v>
      </c>
      <c r="I29" s="27">
        <v>0</v>
      </c>
      <c r="J29" s="27">
        <v>0</v>
      </c>
      <c r="K29" s="27">
        <v>25</v>
      </c>
      <c r="L29" s="27">
        <v>15</v>
      </c>
      <c r="M29" s="27">
        <v>10</v>
      </c>
      <c r="N29" s="27">
        <v>0</v>
      </c>
      <c r="O29" s="27">
        <f t="shared" si="1"/>
        <v>25</v>
      </c>
      <c r="P29" s="27" t="s">
        <v>112</v>
      </c>
      <c r="Q29" s="26" t="s">
        <v>246</v>
      </c>
      <c r="R29" s="27"/>
      <c r="S29" s="27"/>
      <c r="U29" s="27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O29" s="26" t="s">
        <v>173</v>
      </c>
      <c r="AP29" s="26" t="s">
        <v>174</v>
      </c>
      <c r="AQ29" s="26"/>
      <c r="AR29" s="26">
        <v>1</v>
      </c>
      <c r="AS29" s="26">
        <v>1</v>
      </c>
      <c r="AT29" s="30">
        <v>0</v>
      </c>
      <c r="AU29" s="30">
        <v>0</v>
      </c>
      <c r="AV29" s="30">
        <v>0</v>
      </c>
      <c r="AW29" s="30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1</v>
      </c>
      <c r="BG29" s="26">
        <v>0</v>
      </c>
      <c r="BH29" s="26">
        <v>0</v>
      </c>
      <c r="BI29" s="26">
        <v>1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  <c r="BQ29" s="26">
        <v>0</v>
      </c>
      <c r="BR29" s="26">
        <v>0</v>
      </c>
      <c r="BS29" s="26">
        <v>0</v>
      </c>
      <c r="BT29" s="26">
        <v>0</v>
      </c>
      <c r="BU29" s="26">
        <v>0</v>
      </c>
      <c r="BV29" s="26">
        <v>0</v>
      </c>
      <c r="BW29" s="26">
        <v>0</v>
      </c>
      <c r="BX29" s="26">
        <v>0</v>
      </c>
      <c r="BY29" s="26">
        <v>5</v>
      </c>
      <c r="BZ29" s="26">
        <v>0</v>
      </c>
      <c r="CA29" s="26">
        <v>1</v>
      </c>
      <c r="CB29" s="26">
        <v>0</v>
      </c>
      <c r="CC29" s="26">
        <v>0</v>
      </c>
      <c r="CD29" s="26">
        <v>0</v>
      </c>
      <c r="CE29" s="26">
        <v>2</v>
      </c>
      <c r="CF29" s="26">
        <v>4</v>
      </c>
      <c r="CG29" s="26">
        <v>2</v>
      </c>
      <c r="CH29" s="26">
        <v>0</v>
      </c>
      <c r="CI29" s="26">
        <v>0</v>
      </c>
      <c r="CJ29" s="26">
        <v>0</v>
      </c>
      <c r="CK29" s="26">
        <v>0</v>
      </c>
      <c r="CL29" s="26">
        <v>1</v>
      </c>
      <c r="CM29" s="26">
        <v>0</v>
      </c>
      <c r="CN29" s="26">
        <v>0</v>
      </c>
      <c r="CO29" s="26">
        <v>1</v>
      </c>
      <c r="CP29" s="26">
        <v>0</v>
      </c>
      <c r="CQ29" s="26">
        <v>0</v>
      </c>
      <c r="CR29" s="26">
        <v>0</v>
      </c>
      <c r="CS29" s="26">
        <v>0</v>
      </c>
      <c r="CT29" s="26">
        <v>0</v>
      </c>
      <c r="CU29" s="26">
        <v>0</v>
      </c>
      <c r="CV29" s="26">
        <v>1</v>
      </c>
      <c r="CW29" s="26">
        <v>0</v>
      </c>
      <c r="CX29" s="26">
        <v>0</v>
      </c>
      <c r="CY29" s="26">
        <v>0</v>
      </c>
      <c r="CZ29" s="26">
        <v>0</v>
      </c>
      <c r="DA29" s="26">
        <v>1</v>
      </c>
      <c r="DB29" s="26">
        <v>0</v>
      </c>
      <c r="DC29" s="26">
        <v>0</v>
      </c>
      <c r="DD29" s="26">
        <v>0</v>
      </c>
      <c r="DE29" s="26">
        <v>0</v>
      </c>
      <c r="DF29" s="26">
        <v>0</v>
      </c>
      <c r="DG29" s="26">
        <v>0</v>
      </c>
      <c r="DH29" s="26">
        <v>0</v>
      </c>
      <c r="DI29" s="26">
        <v>0</v>
      </c>
      <c r="DJ29" s="26">
        <v>0</v>
      </c>
      <c r="DK29" s="26">
        <v>0</v>
      </c>
      <c r="DL29" s="26">
        <v>0</v>
      </c>
      <c r="DM29" s="26">
        <v>0</v>
      </c>
      <c r="DN29" s="26">
        <v>0</v>
      </c>
      <c r="DO29" s="26">
        <v>0</v>
      </c>
      <c r="DP29" s="26">
        <v>0</v>
      </c>
      <c r="DQ29" s="26">
        <v>0</v>
      </c>
      <c r="DR29" s="26">
        <v>0</v>
      </c>
      <c r="DS29" s="26">
        <v>0</v>
      </c>
      <c r="DT29" s="30">
        <v>0</v>
      </c>
      <c r="DU29" s="30">
        <v>0</v>
      </c>
      <c r="DV29" s="30">
        <v>0</v>
      </c>
      <c r="DW29" s="30">
        <v>0</v>
      </c>
      <c r="DX29" s="30">
        <v>0</v>
      </c>
      <c r="DY29" s="4"/>
    </row>
    <row r="30" spans="1:129" ht="15" customHeight="1">
      <c r="B30" s="32">
        <v>44658</v>
      </c>
      <c r="C30" s="27" t="s">
        <v>169</v>
      </c>
      <c r="D30" s="37" t="s">
        <v>170</v>
      </c>
      <c r="E30" s="27">
        <v>1</v>
      </c>
      <c r="F30" s="27">
        <v>1</v>
      </c>
      <c r="G30" s="27">
        <v>0</v>
      </c>
      <c r="H30" s="27">
        <v>0</v>
      </c>
      <c r="I30" s="27">
        <v>0</v>
      </c>
      <c r="J30" s="27">
        <v>0</v>
      </c>
      <c r="K30" s="27">
        <v>27</v>
      </c>
      <c r="L30" s="27">
        <v>12</v>
      </c>
      <c r="M30" s="27">
        <v>15</v>
      </c>
      <c r="N30" s="27">
        <v>0</v>
      </c>
      <c r="O30" s="27">
        <f t="shared" si="1"/>
        <v>27</v>
      </c>
      <c r="P30" s="27" t="s">
        <v>112</v>
      </c>
      <c r="Q30" s="26" t="s">
        <v>246</v>
      </c>
      <c r="R30" s="27"/>
      <c r="S30" s="27"/>
      <c r="U30" s="27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O30" s="27" t="s">
        <v>175</v>
      </c>
      <c r="AP30" s="27" t="s">
        <v>176</v>
      </c>
      <c r="AQ30" s="26"/>
      <c r="AR30" s="27">
        <v>1</v>
      </c>
      <c r="AS30" s="26">
        <v>0</v>
      </c>
      <c r="AT30" s="30">
        <v>0</v>
      </c>
      <c r="AU30" s="30">
        <v>0</v>
      </c>
      <c r="AV30" s="30">
        <v>0</v>
      </c>
      <c r="AW30" s="30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1</v>
      </c>
      <c r="BL30" s="26">
        <v>1</v>
      </c>
      <c r="BM30" s="26">
        <v>0</v>
      </c>
      <c r="BN30" s="26">
        <v>0</v>
      </c>
      <c r="BO30" s="26">
        <v>1</v>
      </c>
      <c r="BP30" s="26">
        <v>0</v>
      </c>
      <c r="BQ30" s="26">
        <v>0</v>
      </c>
      <c r="BR30" s="26">
        <v>1</v>
      </c>
      <c r="BS30" s="26">
        <v>0</v>
      </c>
      <c r="BT30" s="26">
        <v>0</v>
      </c>
      <c r="BU30" s="26">
        <v>0</v>
      </c>
      <c r="BV30" s="26">
        <v>0</v>
      </c>
      <c r="BW30" s="26">
        <v>0</v>
      </c>
      <c r="BX30" s="26">
        <v>0</v>
      </c>
      <c r="BY30" s="26">
        <v>0</v>
      </c>
      <c r="BZ30" s="26">
        <v>0</v>
      </c>
      <c r="CA30" s="26">
        <v>0</v>
      </c>
      <c r="CB30" s="26">
        <v>0</v>
      </c>
      <c r="CC30" s="26">
        <v>0</v>
      </c>
      <c r="CD30" s="26">
        <v>5</v>
      </c>
      <c r="CE30" s="26">
        <v>0</v>
      </c>
      <c r="CF30" s="26">
        <v>1</v>
      </c>
      <c r="CG30" s="26">
        <v>0</v>
      </c>
      <c r="CH30" s="26">
        <v>0</v>
      </c>
      <c r="CI30" s="26">
        <v>0</v>
      </c>
      <c r="CJ30" s="26">
        <v>0</v>
      </c>
      <c r="CK30" s="26">
        <v>0</v>
      </c>
      <c r="CL30" s="26">
        <v>0</v>
      </c>
      <c r="CM30" s="26">
        <v>0</v>
      </c>
      <c r="CN30" s="26">
        <v>0</v>
      </c>
      <c r="CO30" s="26">
        <v>0</v>
      </c>
      <c r="CP30" s="26">
        <v>0</v>
      </c>
      <c r="CQ30" s="26">
        <v>0</v>
      </c>
      <c r="CR30" s="26">
        <v>0</v>
      </c>
      <c r="CS30" s="26">
        <v>0</v>
      </c>
      <c r="CT30" s="26">
        <v>0</v>
      </c>
      <c r="CU30" s="26">
        <v>1</v>
      </c>
      <c r="CV30" s="26">
        <v>1</v>
      </c>
      <c r="CW30" s="26">
        <v>0</v>
      </c>
      <c r="CX30" s="26">
        <v>0</v>
      </c>
      <c r="CY30" s="26">
        <v>0</v>
      </c>
      <c r="CZ30" s="26">
        <v>0</v>
      </c>
      <c r="DA30" s="26">
        <v>0</v>
      </c>
      <c r="DB30" s="26">
        <v>1</v>
      </c>
      <c r="DC30" s="26">
        <v>0</v>
      </c>
      <c r="DD30" s="26">
        <v>0</v>
      </c>
      <c r="DE30" s="26">
        <v>0</v>
      </c>
      <c r="DF30" s="26">
        <v>0</v>
      </c>
      <c r="DG30" s="26">
        <v>0</v>
      </c>
      <c r="DH30" s="26">
        <v>0</v>
      </c>
      <c r="DI30" s="26">
        <v>0</v>
      </c>
      <c r="DJ30" s="26">
        <v>0</v>
      </c>
      <c r="DK30" s="26">
        <v>0</v>
      </c>
      <c r="DL30" s="26">
        <v>0</v>
      </c>
      <c r="DM30" s="26">
        <v>0</v>
      </c>
      <c r="DN30" s="26">
        <v>0</v>
      </c>
      <c r="DO30" s="26">
        <v>0</v>
      </c>
      <c r="DP30" s="26">
        <v>0</v>
      </c>
      <c r="DQ30" s="26">
        <v>0</v>
      </c>
      <c r="DR30" s="26">
        <v>0</v>
      </c>
      <c r="DS30" s="26">
        <v>0</v>
      </c>
      <c r="DT30" s="30">
        <v>0</v>
      </c>
      <c r="DU30" s="30">
        <v>0</v>
      </c>
      <c r="DV30" s="30">
        <v>0</v>
      </c>
      <c r="DW30" s="30">
        <v>0</v>
      </c>
      <c r="DX30" s="30">
        <v>0</v>
      </c>
      <c r="DY30" s="4"/>
    </row>
    <row r="31" spans="1:129" ht="15" customHeight="1">
      <c r="A31" s="47">
        <v>18</v>
      </c>
      <c r="B31" s="6">
        <v>44677</v>
      </c>
      <c r="C31" s="3" t="s">
        <v>177</v>
      </c>
      <c r="D31" s="3" t="s">
        <v>178</v>
      </c>
      <c r="E31" s="5">
        <v>2</v>
      </c>
      <c r="F31" s="5">
        <v>2</v>
      </c>
      <c r="G31" s="3">
        <v>0</v>
      </c>
      <c r="H31" s="3">
        <v>0</v>
      </c>
      <c r="I31" s="3">
        <v>0</v>
      </c>
      <c r="J31" s="3">
        <v>0</v>
      </c>
      <c r="K31" s="5">
        <v>27</v>
      </c>
      <c r="L31" s="3">
        <v>0</v>
      </c>
      <c r="M31" s="5">
        <v>27</v>
      </c>
      <c r="N31" s="3">
        <v>0</v>
      </c>
      <c r="O31" s="3">
        <f t="shared" si="1"/>
        <v>27</v>
      </c>
      <c r="P31" s="3" t="s">
        <v>112</v>
      </c>
      <c r="Q31" s="3" t="s">
        <v>113</v>
      </c>
      <c r="R31" s="5">
        <v>13</v>
      </c>
      <c r="S31" s="5">
        <v>0</v>
      </c>
      <c r="U31" s="5">
        <v>0</v>
      </c>
      <c r="V31" s="4">
        <v>0</v>
      </c>
      <c r="W31" s="4">
        <v>5</v>
      </c>
      <c r="X31" s="4">
        <v>7</v>
      </c>
      <c r="Y31" s="4">
        <v>1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13</v>
      </c>
      <c r="AH31" s="4">
        <v>12</v>
      </c>
      <c r="AI31" s="4">
        <v>0</v>
      </c>
      <c r="AJ31" s="4">
        <v>1</v>
      </c>
      <c r="AK31" s="4">
        <v>0</v>
      </c>
      <c r="AL31" s="4">
        <v>0</v>
      </c>
      <c r="AM31" s="4">
        <v>13</v>
      </c>
      <c r="AO31" s="5" t="s">
        <v>179</v>
      </c>
      <c r="AP31" s="4" t="s">
        <v>180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1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2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/>
    </row>
    <row r="32" spans="1:129" ht="15" customHeight="1">
      <c r="B32" s="32">
        <v>44678</v>
      </c>
      <c r="C32" s="27" t="s">
        <v>181</v>
      </c>
      <c r="D32" s="37" t="s">
        <v>182</v>
      </c>
      <c r="E32" s="27">
        <v>1</v>
      </c>
      <c r="F32" s="27">
        <v>1</v>
      </c>
      <c r="G32" s="27">
        <v>0</v>
      </c>
      <c r="H32" s="33">
        <v>0</v>
      </c>
      <c r="I32" s="27">
        <v>0</v>
      </c>
      <c r="J32" s="33">
        <v>0</v>
      </c>
      <c r="K32" s="26">
        <v>51</v>
      </c>
      <c r="L32" s="26">
        <v>28</v>
      </c>
      <c r="M32" s="26">
        <v>23</v>
      </c>
      <c r="N32" s="27">
        <v>0</v>
      </c>
      <c r="O32" s="27">
        <f t="shared" si="1"/>
        <v>51</v>
      </c>
      <c r="P32" s="27" t="s">
        <v>112</v>
      </c>
      <c r="Q32" s="26" t="s">
        <v>246</v>
      </c>
      <c r="R32" s="26"/>
      <c r="S32" s="26"/>
      <c r="U32" s="27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O32" s="26" t="s">
        <v>183</v>
      </c>
      <c r="AP32" s="26" t="s">
        <v>184</v>
      </c>
      <c r="AQ32" s="26"/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  <c r="BQ32" s="26">
        <v>0</v>
      </c>
      <c r="BR32" s="26">
        <v>1</v>
      </c>
      <c r="BS32" s="26">
        <v>0</v>
      </c>
      <c r="BT32" s="26">
        <v>0</v>
      </c>
      <c r="BU32" s="26">
        <v>0</v>
      </c>
      <c r="BV32" s="26">
        <v>0</v>
      </c>
      <c r="BW32" s="26">
        <v>0</v>
      </c>
      <c r="BX32" s="26">
        <v>0</v>
      </c>
      <c r="BY32" s="26">
        <v>0</v>
      </c>
      <c r="BZ32" s="26">
        <v>0</v>
      </c>
      <c r="CA32" s="26">
        <v>0</v>
      </c>
      <c r="CB32" s="26">
        <v>0</v>
      </c>
      <c r="CC32" s="26">
        <v>0</v>
      </c>
      <c r="CD32" s="26">
        <v>0</v>
      </c>
      <c r="CE32" s="26">
        <v>0</v>
      </c>
      <c r="CF32" s="26">
        <v>1</v>
      </c>
      <c r="CG32" s="26">
        <v>0</v>
      </c>
      <c r="CH32" s="26">
        <v>0</v>
      </c>
      <c r="CI32" s="26">
        <v>0</v>
      </c>
      <c r="CJ32" s="26">
        <v>0</v>
      </c>
      <c r="CK32" s="26">
        <v>0</v>
      </c>
      <c r="CL32" s="26">
        <v>0</v>
      </c>
      <c r="CM32" s="26">
        <v>0</v>
      </c>
      <c r="CN32" s="26">
        <v>0</v>
      </c>
      <c r="CO32" s="26">
        <v>0</v>
      </c>
      <c r="CP32" s="26">
        <v>0</v>
      </c>
      <c r="CQ32" s="26">
        <v>0</v>
      </c>
      <c r="CR32" s="26">
        <v>0</v>
      </c>
      <c r="CS32" s="26">
        <v>0</v>
      </c>
      <c r="CT32" s="26">
        <v>0</v>
      </c>
      <c r="CU32" s="26">
        <v>0</v>
      </c>
      <c r="CV32" s="26">
        <v>0</v>
      </c>
      <c r="CW32" s="26">
        <v>0</v>
      </c>
      <c r="CX32" s="26">
        <v>0</v>
      </c>
      <c r="CY32" s="26">
        <v>0</v>
      </c>
      <c r="CZ32" s="26">
        <v>0</v>
      </c>
      <c r="DA32" s="26">
        <v>0</v>
      </c>
      <c r="DB32" s="26">
        <v>0</v>
      </c>
      <c r="DC32" s="26">
        <v>0</v>
      </c>
      <c r="DD32" s="26">
        <v>0</v>
      </c>
      <c r="DE32" s="26">
        <v>0</v>
      </c>
      <c r="DF32" s="26">
        <v>0</v>
      </c>
      <c r="DG32" s="26">
        <v>0</v>
      </c>
      <c r="DH32" s="26">
        <v>0</v>
      </c>
      <c r="DI32" s="26">
        <v>0</v>
      </c>
      <c r="DJ32" s="26">
        <v>0</v>
      </c>
      <c r="DK32" s="26">
        <v>0</v>
      </c>
      <c r="DL32" s="26">
        <v>1</v>
      </c>
      <c r="DM32" s="26">
        <v>0</v>
      </c>
      <c r="DN32" s="26">
        <v>0</v>
      </c>
      <c r="DO32" s="26">
        <v>0</v>
      </c>
      <c r="DP32" s="26">
        <v>0</v>
      </c>
      <c r="DQ32" s="26">
        <v>0</v>
      </c>
      <c r="DR32" s="26">
        <v>0</v>
      </c>
      <c r="DS32" s="26">
        <v>0</v>
      </c>
      <c r="DT32" s="26">
        <v>0</v>
      </c>
      <c r="DU32" s="26">
        <v>0</v>
      </c>
      <c r="DV32" s="26">
        <v>0</v>
      </c>
      <c r="DW32" s="26">
        <v>0</v>
      </c>
      <c r="DX32" s="26">
        <v>0</v>
      </c>
      <c r="DY32" s="4"/>
    </row>
    <row r="33" spans="1:129" ht="15" customHeight="1">
      <c r="A33" s="47">
        <v>19</v>
      </c>
      <c r="B33" s="6">
        <v>44680</v>
      </c>
      <c r="C33" s="3" t="s">
        <v>185</v>
      </c>
      <c r="D33" s="3" t="s">
        <v>178</v>
      </c>
      <c r="E33" s="3">
        <v>1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5">
        <v>9</v>
      </c>
      <c r="L33" s="3">
        <v>0</v>
      </c>
      <c r="M33" s="5">
        <v>9</v>
      </c>
      <c r="N33" s="3">
        <v>0</v>
      </c>
      <c r="O33" s="3">
        <f t="shared" si="1"/>
        <v>9</v>
      </c>
      <c r="P33" s="3" t="s">
        <v>112</v>
      </c>
      <c r="Q33" s="4" t="s">
        <v>113</v>
      </c>
      <c r="R33" s="4">
        <v>9</v>
      </c>
      <c r="S33" s="4">
        <v>1</v>
      </c>
      <c r="U33" s="5">
        <v>0</v>
      </c>
      <c r="V33" s="4">
        <v>0</v>
      </c>
      <c r="W33" s="4">
        <v>0</v>
      </c>
      <c r="X33" s="4">
        <v>3</v>
      </c>
      <c r="Y33" s="4">
        <v>4</v>
      </c>
      <c r="Z33" s="4">
        <v>2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9</v>
      </c>
      <c r="AH33" s="4">
        <v>6</v>
      </c>
      <c r="AI33" s="4">
        <v>2</v>
      </c>
      <c r="AJ33" s="4">
        <v>1</v>
      </c>
      <c r="AK33" s="4">
        <v>0</v>
      </c>
      <c r="AL33" s="4">
        <v>0</v>
      </c>
      <c r="AM33" s="4">
        <v>9</v>
      </c>
      <c r="AO33" s="4" t="s">
        <v>186</v>
      </c>
      <c r="AP33" s="4" t="s">
        <v>146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/>
    </row>
    <row r="34" spans="1:129" ht="15" customHeight="1">
      <c r="D34" s="3"/>
      <c r="O34" s="3"/>
    </row>
    <row r="35" spans="1:129" ht="15" customHeight="1">
      <c r="B35" s="44">
        <v>44682</v>
      </c>
      <c r="O35" s="3"/>
    </row>
    <row r="36" spans="1:129" ht="15" customHeight="1">
      <c r="B36" s="32">
        <v>44684</v>
      </c>
      <c r="C36" s="27" t="s">
        <v>187</v>
      </c>
      <c r="D36" s="27" t="s">
        <v>188</v>
      </c>
      <c r="E36" s="26">
        <v>1</v>
      </c>
      <c r="F36" s="26">
        <v>1</v>
      </c>
      <c r="G36" s="26">
        <v>0</v>
      </c>
      <c r="H36" s="27">
        <v>0</v>
      </c>
      <c r="I36" s="26">
        <v>0</v>
      </c>
      <c r="J36" s="26">
        <v>0</v>
      </c>
      <c r="K36" s="27">
        <v>22</v>
      </c>
      <c r="L36" s="27">
        <v>0</v>
      </c>
      <c r="M36" s="27">
        <v>22</v>
      </c>
      <c r="N36" s="27">
        <v>0</v>
      </c>
      <c r="O36" s="27">
        <f t="shared" ref="O36:O47" si="2">L36+M36+N36</f>
        <v>22</v>
      </c>
      <c r="P36" s="27" t="s">
        <v>112</v>
      </c>
      <c r="Q36" s="25" t="s">
        <v>246</v>
      </c>
      <c r="R36" s="3"/>
      <c r="S36" s="3"/>
      <c r="U36" s="3"/>
      <c r="AH36" s="30"/>
      <c r="AI36" s="30"/>
      <c r="AJ36" s="30"/>
      <c r="AK36" s="30"/>
      <c r="AL36" s="30"/>
      <c r="AM36" s="30"/>
      <c r="AO36" s="30" t="s">
        <v>189</v>
      </c>
      <c r="AP36" s="30" t="s">
        <v>190</v>
      </c>
      <c r="AQ36" s="30"/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1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30">
        <v>0</v>
      </c>
      <c r="BP36" s="30">
        <v>0</v>
      </c>
      <c r="BQ36" s="30">
        <v>0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  <c r="CF36" s="30">
        <v>2</v>
      </c>
      <c r="CG36" s="30">
        <v>0</v>
      </c>
      <c r="CH36" s="30">
        <v>0</v>
      </c>
      <c r="CI36" s="30">
        <v>0</v>
      </c>
      <c r="CJ36" s="30">
        <v>0</v>
      </c>
      <c r="CK36" s="30">
        <v>0</v>
      </c>
      <c r="CL36" s="30">
        <v>0</v>
      </c>
      <c r="CM36" s="30">
        <v>0</v>
      </c>
      <c r="CN36" s="30">
        <v>0</v>
      </c>
      <c r="CO36" s="30">
        <v>0</v>
      </c>
      <c r="CP36" s="30">
        <v>0</v>
      </c>
      <c r="CQ36" s="30">
        <v>0</v>
      </c>
      <c r="CR36" s="30">
        <v>0</v>
      </c>
      <c r="CS36" s="30">
        <v>0</v>
      </c>
      <c r="CT36" s="30">
        <v>0</v>
      </c>
      <c r="CU36" s="30">
        <v>0</v>
      </c>
      <c r="CV36" s="30">
        <v>1</v>
      </c>
      <c r="CW36" s="30">
        <v>0</v>
      </c>
      <c r="CX36" s="30">
        <v>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0</v>
      </c>
      <c r="DF36" s="30">
        <v>0</v>
      </c>
      <c r="DG36" s="30">
        <v>0</v>
      </c>
      <c r="DH36" s="30">
        <v>0</v>
      </c>
      <c r="DI36" s="30">
        <v>0</v>
      </c>
      <c r="DJ36" s="30">
        <v>0</v>
      </c>
      <c r="DK36" s="30">
        <v>1</v>
      </c>
      <c r="DL36" s="30">
        <v>1</v>
      </c>
      <c r="DM36" s="30">
        <v>0</v>
      </c>
      <c r="DN36" s="30">
        <v>0</v>
      </c>
      <c r="DO36" s="30">
        <v>0</v>
      </c>
      <c r="DP36" s="30">
        <v>0</v>
      </c>
      <c r="DQ36" s="30">
        <v>0</v>
      </c>
      <c r="DR36" s="30">
        <v>0</v>
      </c>
      <c r="DS36" s="30">
        <v>0</v>
      </c>
      <c r="DT36" s="30">
        <v>0</v>
      </c>
      <c r="DU36" s="30">
        <v>0</v>
      </c>
      <c r="DV36" s="30">
        <v>0</v>
      </c>
      <c r="DW36" s="30">
        <v>0</v>
      </c>
      <c r="DX36" s="30">
        <v>0</v>
      </c>
      <c r="DY36" s="4"/>
    </row>
    <row r="37" spans="1:129" ht="15" customHeight="1">
      <c r="B37" s="32">
        <v>44690</v>
      </c>
      <c r="C37" s="27" t="s">
        <v>191</v>
      </c>
      <c r="D37" s="27" t="s">
        <v>192</v>
      </c>
      <c r="E37" s="27">
        <v>3</v>
      </c>
      <c r="F37" s="27">
        <v>3</v>
      </c>
      <c r="G37" s="27">
        <v>0</v>
      </c>
      <c r="H37" s="27">
        <v>0</v>
      </c>
      <c r="I37" s="27">
        <v>0</v>
      </c>
      <c r="J37" s="27">
        <v>0</v>
      </c>
      <c r="K37" s="27">
        <v>58</v>
      </c>
      <c r="L37" s="27">
        <v>32</v>
      </c>
      <c r="M37" s="27">
        <v>26</v>
      </c>
      <c r="N37" s="27">
        <v>0</v>
      </c>
      <c r="O37" s="27">
        <f t="shared" si="2"/>
        <v>58</v>
      </c>
      <c r="P37" s="27" t="s">
        <v>193</v>
      </c>
      <c r="Q37" s="25" t="s">
        <v>246</v>
      </c>
      <c r="R37" s="3"/>
      <c r="S37" s="3"/>
      <c r="U37" s="3"/>
      <c r="AH37" s="30"/>
      <c r="AI37" s="30"/>
      <c r="AJ37" s="30"/>
      <c r="AK37" s="30"/>
      <c r="AL37" s="30"/>
      <c r="AM37" s="30"/>
      <c r="AO37" s="25" t="s">
        <v>194</v>
      </c>
      <c r="AP37" s="23" t="s">
        <v>195</v>
      </c>
      <c r="AQ37" s="30"/>
      <c r="AR37" s="30">
        <v>5</v>
      </c>
      <c r="AS37" s="30">
        <v>0</v>
      </c>
      <c r="AT37" s="30">
        <v>1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1</v>
      </c>
      <c r="BB37" s="30">
        <v>1</v>
      </c>
      <c r="BC37" s="30">
        <v>3</v>
      </c>
      <c r="BD37" s="30">
        <v>0</v>
      </c>
      <c r="BE37" s="30">
        <v>0</v>
      </c>
      <c r="BF37" s="30">
        <v>0</v>
      </c>
      <c r="BG37" s="30">
        <v>0</v>
      </c>
      <c r="BH37" s="30">
        <v>1</v>
      </c>
      <c r="BI37" s="30">
        <v>1</v>
      </c>
      <c r="BJ37" s="30">
        <v>0</v>
      </c>
      <c r="BK37" s="30">
        <v>0</v>
      </c>
      <c r="BL37" s="30">
        <v>0</v>
      </c>
      <c r="BM37" s="30">
        <v>1</v>
      </c>
      <c r="BN37" s="30">
        <v>1</v>
      </c>
      <c r="BO37" s="30">
        <v>1</v>
      </c>
      <c r="BP37" s="30">
        <v>0</v>
      </c>
      <c r="BQ37" s="30">
        <v>0</v>
      </c>
      <c r="BR37" s="30">
        <v>0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0">
        <v>1</v>
      </c>
      <c r="CJ37" s="30">
        <v>0</v>
      </c>
      <c r="CK37" s="30">
        <v>0</v>
      </c>
      <c r="CL37" s="30">
        <v>2</v>
      </c>
      <c r="CM37" s="30">
        <v>0</v>
      </c>
      <c r="CN37" s="30">
        <v>0</v>
      </c>
      <c r="CO37" s="30">
        <v>0</v>
      </c>
      <c r="CP37" s="30">
        <v>0</v>
      </c>
      <c r="CQ37" s="30">
        <v>0</v>
      </c>
      <c r="CR37" s="30">
        <v>0</v>
      </c>
      <c r="CS37" s="30">
        <v>4</v>
      </c>
      <c r="CT37" s="30">
        <v>0</v>
      </c>
      <c r="CU37" s="30">
        <v>0</v>
      </c>
      <c r="CV37" s="30">
        <v>0</v>
      </c>
      <c r="CW37" s="30">
        <v>0</v>
      </c>
      <c r="CX37" s="30">
        <v>0</v>
      </c>
      <c r="CY37" s="30">
        <v>0</v>
      </c>
      <c r="CZ37" s="30">
        <v>0</v>
      </c>
      <c r="DA37" s="30">
        <v>0</v>
      </c>
      <c r="DB37" s="30">
        <v>0</v>
      </c>
      <c r="DC37" s="30">
        <v>0</v>
      </c>
      <c r="DD37" s="30">
        <v>1</v>
      </c>
      <c r="DE37" s="30">
        <v>0</v>
      </c>
      <c r="DF37" s="30">
        <v>0</v>
      </c>
      <c r="DG37" s="30">
        <v>0</v>
      </c>
      <c r="DH37" s="30">
        <v>0</v>
      </c>
      <c r="DI37" s="30">
        <v>0</v>
      </c>
      <c r="DJ37" s="30">
        <v>0</v>
      </c>
      <c r="DK37" s="30">
        <v>0</v>
      </c>
      <c r="DL37" s="30">
        <v>0</v>
      </c>
      <c r="DM37" s="30">
        <v>0</v>
      </c>
      <c r="DN37" s="30">
        <v>0</v>
      </c>
      <c r="DO37" s="30">
        <v>0</v>
      </c>
      <c r="DP37" s="30">
        <v>0</v>
      </c>
      <c r="DQ37" s="30">
        <v>0</v>
      </c>
      <c r="DR37" s="30">
        <v>0</v>
      </c>
      <c r="DS37" s="30">
        <v>0</v>
      </c>
      <c r="DT37" s="30">
        <v>0</v>
      </c>
      <c r="DU37" s="30">
        <v>0</v>
      </c>
      <c r="DV37" s="30">
        <v>0</v>
      </c>
      <c r="DW37" s="30">
        <v>0</v>
      </c>
      <c r="DX37" s="30">
        <v>0</v>
      </c>
      <c r="DY37" s="4"/>
    </row>
    <row r="38" spans="1:129" ht="14">
      <c r="B38" s="32">
        <v>44691</v>
      </c>
      <c r="C38" s="27" t="s">
        <v>191</v>
      </c>
      <c r="D38" s="34" t="s">
        <v>192</v>
      </c>
      <c r="E38" s="26">
        <v>2</v>
      </c>
      <c r="F38" s="26">
        <v>2</v>
      </c>
      <c r="G38" s="27">
        <v>0</v>
      </c>
      <c r="H38" s="27">
        <v>0</v>
      </c>
      <c r="I38" s="27">
        <v>0</v>
      </c>
      <c r="J38" s="27">
        <v>0</v>
      </c>
      <c r="K38" s="26">
        <v>47</v>
      </c>
      <c r="L38" s="26">
        <v>26</v>
      </c>
      <c r="M38" s="26">
        <v>21</v>
      </c>
      <c r="N38" s="27">
        <v>0</v>
      </c>
      <c r="O38" s="27">
        <f t="shared" si="2"/>
        <v>47</v>
      </c>
      <c r="P38" s="26" t="s">
        <v>196</v>
      </c>
      <c r="Q38" s="25" t="s">
        <v>246</v>
      </c>
      <c r="R38" s="3"/>
      <c r="S38" s="3"/>
      <c r="U38" s="3"/>
      <c r="AH38" s="30"/>
      <c r="AI38" s="30"/>
      <c r="AJ38" s="30"/>
      <c r="AK38" s="30"/>
      <c r="AL38" s="30"/>
      <c r="AM38" s="30"/>
      <c r="AO38" s="36" t="s">
        <v>197</v>
      </c>
      <c r="AP38" s="25" t="s">
        <v>198</v>
      </c>
      <c r="AQ38" s="30"/>
      <c r="AR38" s="30">
        <v>2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1</v>
      </c>
      <c r="BC38" s="30">
        <v>5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1</v>
      </c>
      <c r="BK38" s="30">
        <v>0</v>
      </c>
      <c r="BL38" s="30">
        <v>0</v>
      </c>
      <c r="BM38" s="30">
        <v>1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1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  <c r="CF38" s="30">
        <v>1</v>
      </c>
      <c r="CG38" s="30">
        <v>0</v>
      </c>
      <c r="CH38" s="30">
        <v>0</v>
      </c>
      <c r="CI38" s="30">
        <v>0</v>
      </c>
      <c r="CJ38" s="30">
        <v>0</v>
      </c>
      <c r="CK38" s="30">
        <v>0</v>
      </c>
      <c r="CL38" s="30">
        <v>0</v>
      </c>
      <c r="CM38" s="30">
        <v>0</v>
      </c>
      <c r="CN38" s="30">
        <v>0</v>
      </c>
      <c r="CO38" s="30">
        <v>0</v>
      </c>
      <c r="CP38" s="30">
        <v>0</v>
      </c>
      <c r="CQ38" s="30">
        <v>0</v>
      </c>
      <c r="CR38" s="30">
        <v>0</v>
      </c>
      <c r="CS38" s="30">
        <v>2</v>
      </c>
      <c r="CT38" s="30">
        <v>0</v>
      </c>
      <c r="CU38" s="30">
        <v>0</v>
      </c>
      <c r="CV38" s="30">
        <v>1</v>
      </c>
      <c r="CW38" s="30">
        <v>0</v>
      </c>
      <c r="CX38" s="30">
        <v>0</v>
      </c>
      <c r="CY38" s="30">
        <v>1</v>
      </c>
      <c r="CZ38" s="30">
        <v>1</v>
      </c>
      <c r="DA38" s="30">
        <v>1</v>
      </c>
      <c r="DB38" s="30">
        <v>0</v>
      </c>
      <c r="DC38" s="30">
        <v>0</v>
      </c>
      <c r="DD38" s="30">
        <v>0</v>
      </c>
      <c r="DE38" s="30">
        <v>0</v>
      </c>
      <c r="DF38" s="30">
        <v>0</v>
      </c>
      <c r="DG38" s="30">
        <v>0</v>
      </c>
      <c r="DH38" s="30">
        <v>0</v>
      </c>
      <c r="DI38" s="30">
        <v>0</v>
      </c>
      <c r="DJ38" s="30">
        <v>0</v>
      </c>
      <c r="DK38" s="30">
        <v>0</v>
      </c>
      <c r="DL38" s="30">
        <v>0</v>
      </c>
      <c r="DM38" s="30">
        <v>0</v>
      </c>
      <c r="DN38" s="30">
        <v>0</v>
      </c>
      <c r="DO38" s="30">
        <v>0</v>
      </c>
      <c r="DP38" s="30">
        <v>0</v>
      </c>
      <c r="DQ38" s="30">
        <v>0</v>
      </c>
      <c r="DR38" s="30">
        <v>0</v>
      </c>
      <c r="DS38" s="30">
        <v>0</v>
      </c>
      <c r="DT38" s="30">
        <v>0</v>
      </c>
      <c r="DU38" s="30">
        <v>0</v>
      </c>
      <c r="DV38" s="30">
        <v>0</v>
      </c>
      <c r="DW38" s="30">
        <v>0</v>
      </c>
      <c r="DX38" s="30">
        <v>0</v>
      </c>
      <c r="DY38" s="4"/>
    </row>
    <row r="39" spans="1:129" ht="15" customHeight="1">
      <c r="B39" s="32">
        <v>44692</v>
      </c>
      <c r="C39" s="27" t="s">
        <v>191</v>
      </c>
      <c r="D39" s="27" t="s">
        <v>192</v>
      </c>
      <c r="E39" s="27">
        <v>3</v>
      </c>
      <c r="F39" s="27">
        <v>3</v>
      </c>
      <c r="G39" s="27">
        <v>0</v>
      </c>
      <c r="H39" s="27">
        <v>0</v>
      </c>
      <c r="I39" s="27">
        <v>0</v>
      </c>
      <c r="J39" s="27">
        <v>0</v>
      </c>
      <c r="K39" s="27">
        <v>56</v>
      </c>
      <c r="L39" s="26">
        <v>35</v>
      </c>
      <c r="M39" s="26">
        <v>21</v>
      </c>
      <c r="N39" s="27">
        <v>0</v>
      </c>
      <c r="O39" s="27">
        <f t="shared" si="2"/>
        <v>56</v>
      </c>
      <c r="P39" s="27" t="s">
        <v>199</v>
      </c>
      <c r="Q39" s="25" t="s">
        <v>246</v>
      </c>
      <c r="R39" s="3"/>
      <c r="S39" s="3"/>
      <c r="U39" s="3"/>
      <c r="AH39" s="30"/>
      <c r="AI39" s="30"/>
      <c r="AJ39" s="30"/>
      <c r="AK39" s="30"/>
      <c r="AL39" s="30"/>
      <c r="AM39" s="30"/>
      <c r="AO39" s="23" t="s">
        <v>200</v>
      </c>
      <c r="AP39" s="25" t="s">
        <v>201</v>
      </c>
      <c r="AQ39" s="30"/>
      <c r="AR39" s="30">
        <v>1</v>
      </c>
      <c r="AS39" s="30">
        <v>0</v>
      </c>
      <c r="AT39" s="30">
        <v>1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2</v>
      </c>
      <c r="BD39" s="30">
        <v>0</v>
      </c>
      <c r="BE39" s="30">
        <v>0</v>
      </c>
      <c r="BF39" s="30">
        <v>0</v>
      </c>
      <c r="BG39" s="30">
        <v>0</v>
      </c>
      <c r="BH39" s="30">
        <v>1</v>
      </c>
      <c r="BI39" s="30">
        <v>1</v>
      </c>
      <c r="BJ39" s="30">
        <v>2</v>
      </c>
      <c r="BK39" s="30">
        <v>0</v>
      </c>
      <c r="BL39" s="30">
        <v>0</v>
      </c>
      <c r="BM39" s="30">
        <v>0</v>
      </c>
      <c r="BN39" s="30">
        <v>0</v>
      </c>
      <c r="BO39" s="30">
        <v>1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1</v>
      </c>
      <c r="CE39" s="30">
        <v>1</v>
      </c>
      <c r="CF39" s="30">
        <v>0</v>
      </c>
      <c r="CG39" s="30">
        <v>1</v>
      </c>
      <c r="CH39" s="30">
        <v>0</v>
      </c>
      <c r="CI39" s="30">
        <v>0</v>
      </c>
      <c r="CJ39" s="30">
        <v>0</v>
      </c>
      <c r="CK39" s="30">
        <v>0</v>
      </c>
      <c r="CL39" s="30">
        <v>0</v>
      </c>
      <c r="CM39" s="30">
        <v>0</v>
      </c>
      <c r="CN39" s="30">
        <v>0</v>
      </c>
      <c r="CO39" s="30">
        <v>0</v>
      </c>
      <c r="CP39" s="30">
        <v>1</v>
      </c>
      <c r="CQ39" s="30">
        <v>0</v>
      </c>
      <c r="CR39" s="30">
        <v>0</v>
      </c>
      <c r="CS39" s="30">
        <v>0</v>
      </c>
      <c r="CT39" s="30">
        <v>0</v>
      </c>
      <c r="CU39" s="30">
        <v>0</v>
      </c>
      <c r="CV39" s="30">
        <v>0</v>
      </c>
      <c r="CW39" s="30">
        <v>0</v>
      </c>
      <c r="CX39" s="30">
        <v>0</v>
      </c>
      <c r="CY39" s="30">
        <v>0</v>
      </c>
      <c r="CZ39" s="30">
        <v>0</v>
      </c>
      <c r="DA39" s="30">
        <v>0</v>
      </c>
      <c r="DB39" s="30">
        <v>0</v>
      </c>
      <c r="DC39" s="30">
        <v>0</v>
      </c>
      <c r="DD39" s="30">
        <v>0</v>
      </c>
      <c r="DE39" s="30">
        <v>0</v>
      </c>
      <c r="DF39" s="30">
        <v>0</v>
      </c>
      <c r="DG39" s="30">
        <v>0</v>
      </c>
      <c r="DH39" s="30">
        <v>0</v>
      </c>
      <c r="DI39" s="30">
        <v>0</v>
      </c>
      <c r="DJ39" s="30">
        <v>1</v>
      </c>
      <c r="DK39" s="30">
        <v>1</v>
      </c>
      <c r="DL39" s="30">
        <v>0</v>
      </c>
      <c r="DM39" s="30">
        <v>0</v>
      </c>
      <c r="DN39" s="30">
        <v>0</v>
      </c>
      <c r="DO39" s="30">
        <v>0</v>
      </c>
      <c r="DP39" s="30">
        <v>0</v>
      </c>
      <c r="DQ39" s="30">
        <v>0</v>
      </c>
      <c r="DR39" s="30">
        <v>0</v>
      </c>
      <c r="DS39" s="30">
        <v>0</v>
      </c>
      <c r="DT39" s="30">
        <v>0</v>
      </c>
      <c r="DU39" s="30">
        <v>0</v>
      </c>
      <c r="DV39" s="30">
        <v>0</v>
      </c>
      <c r="DW39" s="30">
        <v>0</v>
      </c>
      <c r="DX39" s="30">
        <v>0</v>
      </c>
      <c r="DY39" s="4"/>
    </row>
    <row r="40" spans="1:129" ht="15" customHeight="1">
      <c r="B40" s="32">
        <v>44693</v>
      </c>
      <c r="C40" s="27" t="s">
        <v>191</v>
      </c>
      <c r="D40" s="27" t="s">
        <v>192</v>
      </c>
      <c r="E40" s="26">
        <v>2</v>
      </c>
      <c r="F40" s="26">
        <v>2</v>
      </c>
      <c r="G40" s="27">
        <v>0</v>
      </c>
      <c r="H40" s="27">
        <v>0</v>
      </c>
      <c r="I40" s="27">
        <v>0</v>
      </c>
      <c r="J40" s="27">
        <v>0</v>
      </c>
      <c r="K40" s="26">
        <v>39</v>
      </c>
      <c r="L40" s="26">
        <v>22</v>
      </c>
      <c r="M40" s="26">
        <v>17</v>
      </c>
      <c r="N40" s="27">
        <v>0</v>
      </c>
      <c r="O40" s="27">
        <f t="shared" si="2"/>
        <v>39</v>
      </c>
      <c r="P40" s="27" t="s">
        <v>199</v>
      </c>
      <c r="Q40" s="25" t="s">
        <v>246</v>
      </c>
      <c r="R40" s="3"/>
      <c r="S40" s="3"/>
      <c r="U40" s="3"/>
      <c r="AH40" s="30"/>
      <c r="AI40" s="30"/>
      <c r="AJ40" s="30"/>
      <c r="AK40" s="30"/>
      <c r="AL40" s="30"/>
      <c r="AM40" s="30"/>
      <c r="AO40" s="25" t="s">
        <v>202</v>
      </c>
      <c r="AP40" s="25" t="s">
        <v>203</v>
      </c>
      <c r="AQ40" s="30"/>
      <c r="AR40" s="30">
        <v>2</v>
      </c>
      <c r="AS40" s="30">
        <v>0</v>
      </c>
      <c r="AT40" s="30">
        <v>1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1</v>
      </c>
      <c r="BD40" s="30">
        <v>0</v>
      </c>
      <c r="BE40" s="30">
        <v>0</v>
      </c>
      <c r="BF40" s="30">
        <v>0</v>
      </c>
      <c r="BG40" s="30">
        <v>0</v>
      </c>
      <c r="BH40" s="30">
        <v>2</v>
      </c>
      <c r="BI40" s="30">
        <v>0</v>
      </c>
      <c r="BJ40" s="30">
        <v>1</v>
      </c>
      <c r="BK40" s="30">
        <v>0</v>
      </c>
      <c r="BL40" s="30">
        <v>0</v>
      </c>
      <c r="BM40" s="30">
        <v>1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1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1</v>
      </c>
      <c r="CE40" s="30">
        <v>0</v>
      </c>
      <c r="CF40" s="30">
        <v>1</v>
      </c>
      <c r="CG40" s="30">
        <v>0</v>
      </c>
      <c r="CH40" s="30">
        <v>0</v>
      </c>
      <c r="CI40" s="30">
        <v>0</v>
      </c>
      <c r="CJ40" s="30">
        <v>0</v>
      </c>
      <c r="CK40" s="30">
        <v>0</v>
      </c>
      <c r="CL40" s="30">
        <v>0</v>
      </c>
      <c r="CM40" s="30">
        <v>0</v>
      </c>
      <c r="CN40" s="30">
        <v>0</v>
      </c>
      <c r="CO40" s="30">
        <v>0</v>
      </c>
      <c r="CP40" s="30">
        <v>0</v>
      </c>
      <c r="CQ40" s="30">
        <v>0</v>
      </c>
      <c r="CR40" s="30">
        <v>0</v>
      </c>
      <c r="CS40" s="30">
        <v>0</v>
      </c>
      <c r="CT40" s="30">
        <v>0</v>
      </c>
      <c r="CU40" s="30">
        <v>0</v>
      </c>
      <c r="CV40" s="30">
        <v>0</v>
      </c>
      <c r="CW40" s="30">
        <v>0</v>
      </c>
      <c r="CX40" s="30">
        <v>0</v>
      </c>
      <c r="CY40" s="30">
        <v>0</v>
      </c>
      <c r="CZ40" s="30">
        <v>0</v>
      </c>
      <c r="DA40" s="30">
        <v>0</v>
      </c>
      <c r="DB40" s="30">
        <v>0</v>
      </c>
      <c r="DC40" s="30">
        <v>0</v>
      </c>
      <c r="DD40" s="30">
        <v>0</v>
      </c>
      <c r="DE40" s="30">
        <v>0</v>
      </c>
      <c r="DF40" s="30">
        <v>0</v>
      </c>
      <c r="DG40" s="30">
        <v>0</v>
      </c>
      <c r="DH40" s="30">
        <v>0</v>
      </c>
      <c r="DI40" s="30">
        <v>0</v>
      </c>
      <c r="DJ40" s="30">
        <v>0</v>
      </c>
      <c r="DK40" s="30">
        <v>0</v>
      </c>
      <c r="DL40" s="30">
        <v>1</v>
      </c>
      <c r="DM40" s="30">
        <v>0</v>
      </c>
      <c r="DN40" s="30">
        <v>0</v>
      </c>
      <c r="DO40" s="30">
        <v>0</v>
      </c>
      <c r="DP40" s="30">
        <v>0</v>
      </c>
      <c r="DQ40" s="30">
        <v>0</v>
      </c>
      <c r="DR40" s="30">
        <v>1</v>
      </c>
      <c r="DS40" s="30">
        <v>0</v>
      </c>
      <c r="DT40" s="30">
        <v>0</v>
      </c>
      <c r="DU40" s="30">
        <v>0</v>
      </c>
      <c r="DV40" s="30">
        <v>0</v>
      </c>
      <c r="DW40" s="30">
        <v>0</v>
      </c>
      <c r="DX40" s="30">
        <v>0</v>
      </c>
      <c r="DY40" s="4"/>
    </row>
    <row r="41" spans="1:129" ht="15" customHeight="1">
      <c r="A41" s="45" t="s">
        <v>261</v>
      </c>
      <c r="B41" s="6">
        <v>44694</v>
      </c>
      <c r="C41" s="3" t="s">
        <v>244</v>
      </c>
      <c r="D41" s="14" t="s">
        <v>204</v>
      </c>
      <c r="E41" s="3">
        <v>2</v>
      </c>
      <c r="F41" s="3">
        <v>2</v>
      </c>
      <c r="G41" s="3">
        <v>0</v>
      </c>
      <c r="H41" s="3">
        <v>0</v>
      </c>
      <c r="I41" s="3">
        <v>0</v>
      </c>
      <c r="J41" s="3">
        <v>0</v>
      </c>
      <c r="K41" s="3">
        <v>52</v>
      </c>
      <c r="L41" s="3">
        <v>52</v>
      </c>
      <c r="M41" s="3">
        <v>0</v>
      </c>
      <c r="N41" s="3">
        <v>0</v>
      </c>
      <c r="O41" s="3">
        <f t="shared" si="2"/>
        <v>52</v>
      </c>
      <c r="P41" s="3" t="s">
        <v>205</v>
      </c>
      <c r="Q41" s="3" t="s">
        <v>113</v>
      </c>
      <c r="R41" s="5">
        <v>48</v>
      </c>
      <c r="S41" s="5">
        <v>1</v>
      </c>
      <c r="U41" s="5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4</v>
      </c>
      <c r="AC41" s="4">
        <v>43</v>
      </c>
      <c r="AD41" s="4">
        <v>1</v>
      </c>
      <c r="AE41" s="4">
        <v>0</v>
      </c>
      <c r="AF41" s="4">
        <v>48</v>
      </c>
      <c r="AH41" s="4">
        <v>37</v>
      </c>
      <c r="AI41" s="4">
        <v>8</v>
      </c>
      <c r="AJ41" s="4">
        <v>2</v>
      </c>
      <c r="AK41" s="4">
        <v>0</v>
      </c>
      <c r="AL41" s="4">
        <v>1</v>
      </c>
      <c r="AM41" s="4">
        <v>48</v>
      </c>
      <c r="AO41" s="3" t="s">
        <v>206</v>
      </c>
      <c r="AP41" s="3" t="s">
        <v>207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2</v>
      </c>
      <c r="BK41" s="4">
        <v>0</v>
      </c>
      <c r="BL41" s="4">
        <v>0</v>
      </c>
      <c r="BM41" s="4">
        <v>2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1</v>
      </c>
      <c r="BW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1</v>
      </c>
      <c r="CL41" s="4">
        <v>1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1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/>
    </row>
    <row r="42" spans="1:129" ht="15" customHeight="1">
      <c r="A42" s="45" t="s">
        <v>262</v>
      </c>
      <c r="B42" s="6">
        <v>44697</v>
      </c>
      <c r="C42" s="3" t="s">
        <v>208</v>
      </c>
      <c r="D42" s="14" t="s">
        <v>209</v>
      </c>
      <c r="E42" s="3">
        <v>2</v>
      </c>
      <c r="F42" s="3">
        <v>0</v>
      </c>
      <c r="G42" s="3">
        <v>0</v>
      </c>
      <c r="H42" s="3">
        <v>2</v>
      </c>
      <c r="I42" s="3">
        <v>0</v>
      </c>
      <c r="J42" s="3">
        <v>0</v>
      </c>
      <c r="K42" s="3">
        <v>49</v>
      </c>
      <c r="L42" s="3">
        <v>25</v>
      </c>
      <c r="M42" s="3">
        <v>24</v>
      </c>
      <c r="N42" s="3">
        <v>0</v>
      </c>
      <c r="O42" s="3">
        <f t="shared" si="2"/>
        <v>49</v>
      </c>
      <c r="P42" s="3" t="s">
        <v>193</v>
      </c>
      <c r="Q42" s="3" t="s">
        <v>113</v>
      </c>
      <c r="R42" s="5">
        <v>26</v>
      </c>
      <c r="S42" s="35">
        <v>0</v>
      </c>
      <c r="U42" s="5">
        <v>1</v>
      </c>
      <c r="V42" s="4">
        <v>0</v>
      </c>
      <c r="W42" s="4">
        <v>0</v>
      </c>
      <c r="X42" s="4">
        <v>0</v>
      </c>
      <c r="Y42" s="4">
        <v>0</v>
      </c>
      <c r="Z42" s="5">
        <v>21</v>
      </c>
      <c r="AA42" s="4">
        <v>4</v>
      </c>
      <c r="AB42" s="4">
        <v>0</v>
      </c>
      <c r="AC42" s="4">
        <v>0</v>
      </c>
      <c r="AD42" s="4">
        <v>0</v>
      </c>
      <c r="AE42" s="4">
        <v>0</v>
      </c>
      <c r="AF42" s="4">
        <v>26</v>
      </c>
      <c r="AH42" s="4">
        <v>11</v>
      </c>
      <c r="AI42" s="4">
        <v>13</v>
      </c>
      <c r="AJ42" s="4">
        <v>2</v>
      </c>
      <c r="AK42" s="4">
        <v>0</v>
      </c>
      <c r="AL42" s="4">
        <v>0</v>
      </c>
      <c r="AM42" s="4">
        <v>26</v>
      </c>
      <c r="AO42" s="3" t="s">
        <v>210</v>
      </c>
      <c r="AP42" s="3" t="s">
        <v>211</v>
      </c>
      <c r="AR42" s="4">
        <v>5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2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0</v>
      </c>
      <c r="BJ42" s="4">
        <v>5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1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1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/>
    </row>
    <row r="43" spans="1:129" ht="15" customHeight="1">
      <c r="A43" s="45" t="s">
        <v>263</v>
      </c>
      <c r="B43" s="15" t="s">
        <v>212</v>
      </c>
      <c r="C43" s="3" t="s">
        <v>208</v>
      </c>
      <c r="D43" s="16" t="s">
        <v>209</v>
      </c>
      <c r="E43" s="3">
        <v>2</v>
      </c>
      <c r="F43" s="3">
        <v>0</v>
      </c>
      <c r="G43" s="3">
        <v>0</v>
      </c>
      <c r="H43" s="3">
        <v>2</v>
      </c>
      <c r="I43" s="3">
        <v>0</v>
      </c>
      <c r="J43" s="3">
        <v>0</v>
      </c>
      <c r="K43" s="3">
        <v>52</v>
      </c>
      <c r="L43" s="3">
        <v>29</v>
      </c>
      <c r="M43" s="3">
        <v>23</v>
      </c>
      <c r="N43" s="3">
        <v>0</v>
      </c>
      <c r="O43" s="3">
        <f t="shared" si="2"/>
        <v>52</v>
      </c>
      <c r="P43" s="3" t="s">
        <v>193</v>
      </c>
      <c r="Q43" s="3" t="s">
        <v>113</v>
      </c>
      <c r="R43" s="5">
        <v>33</v>
      </c>
      <c r="S43" s="35">
        <v>0</v>
      </c>
      <c r="U43" s="5">
        <v>0</v>
      </c>
      <c r="V43" s="4">
        <v>0</v>
      </c>
      <c r="W43" s="4">
        <v>0</v>
      </c>
      <c r="X43" s="4">
        <v>0</v>
      </c>
      <c r="Y43" s="4">
        <v>1</v>
      </c>
      <c r="Z43" s="5">
        <v>25</v>
      </c>
      <c r="AA43" s="4">
        <v>7</v>
      </c>
      <c r="AB43" s="4">
        <v>0</v>
      </c>
      <c r="AC43" s="4">
        <v>0</v>
      </c>
      <c r="AD43" s="4">
        <v>0</v>
      </c>
      <c r="AE43" s="4">
        <v>0</v>
      </c>
      <c r="AF43" s="4">
        <v>33</v>
      </c>
      <c r="AH43" s="4">
        <v>16</v>
      </c>
      <c r="AI43" s="4">
        <v>15</v>
      </c>
      <c r="AJ43" s="4">
        <v>1</v>
      </c>
      <c r="AK43" s="4">
        <v>1</v>
      </c>
      <c r="AL43" s="4">
        <v>0</v>
      </c>
      <c r="AM43" s="4">
        <v>33</v>
      </c>
      <c r="AO43" s="3" t="s">
        <v>213</v>
      </c>
      <c r="AP43" s="3" t="s">
        <v>214</v>
      </c>
      <c r="AR43" s="4">
        <v>8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1</v>
      </c>
      <c r="BC43" s="4">
        <v>2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0</v>
      </c>
      <c r="BJ43" s="4">
        <v>4</v>
      </c>
      <c r="BK43" s="4">
        <v>1</v>
      </c>
      <c r="BL43" s="4">
        <v>0</v>
      </c>
      <c r="BM43" s="4">
        <v>1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2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1</v>
      </c>
      <c r="CT43" s="4">
        <v>0</v>
      </c>
      <c r="CU43" s="4">
        <v>1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1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1</v>
      </c>
      <c r="DK43" s="4">
        <v>0</v>
      </c>
      <c r="DL43" s="4">
        <v>2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/>
    </row>
    <row r="44" spans="1:129" ht="15" customHeight="1">
      <c r="B44" s="31">
        <v>44704</v>
      </c>
      <c r="C44" s="27" t="s">
        <v>215</v>
      </c>
      <c r="D44" s="27" t="s">
        <v>216</v>
      </c>
      <c r="E44" s="27">
        <v>2</v>
      </c>
      <c r="F44" s="27">
        <v>2</v>
      </c>
      <c r="G44" s="27">
        <v>0</v>
      </c>
      <c r="H44" s="27">
        <v>0</v>
      </c>
      <c r="I44" s="27">
        <v>0</v>
      </c>
      <c r="J44" s="27">
        <v>0</v>
      </c>
      <c r="K44" s="27">
        <v>64</v>
      </c>
      <c r="L44" s="27">
        <v>31</v>
      </c>
      <c r="M44" s="27">
        <v>33</v>
      </c>
      <c r="N44" s="27">
        <v>0</v>
      </c>
      <c r="O44" s="27">
        <f t="shared" si="2"/>
        <v>64</v>
      </c>
      <c r="P44" s="27" t="s">
        <v>217</v>
      </c>
      <c r="Q44" s="30" t="s">
        <v>246</v>
      </c>
      <c r="R44" s="30"/>
      <c r="S44" s="30"/>
      <c r="U44" s="27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30"/>
      <c r="AI44" s="30"/>
      <c r="AJ44" s="30"/>
      <c r="AK44" s="30"/>
      <c r="AL44" s="30"/>
      <c r="AM44" s="30"/>
      <c r="AO44" s="33" t="s">
        <v>218</v>
      </c>
      <c r="AP44" s="33" t="s">
        <v>219</v>
      </c>
      <c r="AQ44" s="30"/>
      <c r="AR44" s="30">
        <v>5</v>
      </c>
      <c r="AS44" s="30">
        <v>1</v>
      </c>
      <c r="AT44" s="30">
        <v>0</v>
      </c>
      <c r="AU44" s="30">
        <v>0</v>
      </c>
      <c r="AV44" s="30">
        <v>0</v>
      </c>
      <c r="AW44" s="30">
        <v>0</v>
      </c>
      <c r="AX44" s="26">
        <v>0</v>
      </c>
      <c r="AY44" s="26">
        <v>0</v>
      </c>
      <c r="AZ44" s="26">
        <v>0</v>
      </c>
      <c r="BA44" s="26">
        <v>0</v>
      </c>
      <c r="BB44" s="30">
        <v>11</v>
      </c>
      <c r="BC44" s="30">
        <v>3</v>
      </c>
      <c r="BD44" s="30">
        <v>0</v>
      </c>
      <c r="BE44" s="30">
        <v>0</v>
      </c>
      <c r="BF44" s="30">
        <v>0</v>
      </c>
      <c r="BG44" s="30">
        <v>0</v>
      </c>
      <c r="BH44" s="26">
        <v>0</v>
      </c>
      <c r="BI44" s="26">
        <v>1</v>
      </c>
      <c r="BJ44" s="26">
        <v>0</v>
      </c>
      <c r="BK44" s="26">
        <v>0</v>
      </c>
      <c r="BL44" s="26">
        <v>0</v>
      </c>
      <c r="BM44" s="26">
        <v>1</v>
      </c>
      <c r="BN44" s="26">
        <v>0</v>
      </c>
      <c r="BO44" s="26">
        <v>0</v>
      </c>
      <c r="BP44" s="26">
        <v>1</v>
      </c>
      <c r="BQ44" s="26">
        <v>0</v>
      </c>
      <c r="BR44" s="26">
        <v>0</v>
      </c>
      <c r="BS44" s="26">
        <v>0</v>
      </c>
      <c r="BT44" s="26">
        <v>0</v>
      </c>
      <c r="BU44" s="26">
        <v>0</v>
      </c>
      <c r="BV44" s="30">
        <v>2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1</v>
      </c>
      <c r="CC44" s="30">
        <v>1</v>
      </c>
      <c r="CD44" s="30">
        <v>1</v>
      </c>
      <c r="CE44" s="26">
        <v>0</v>
      </c>
      <c r="CF44" s="26">
        <v>1</v>
      </c>
      <c r="CG44" s="26">
        <v>1</v>
      </c>
      <c r="CH44" s="26">
        <v>0</v>
      </c>
      <c r="CI44" s="26">
        <v>0</v>
      </c>
      <c r="CJ44" s="26">
        <v>0</v>
      </c>
      <c r="CK44" s="26">
        <v>0</v>
      </c>
      <c r="CL44" s="26">
        <v>0</v>
      </c>
      <c r="CM44" s="26">
        <v>1</v>
      </c>
      <c r="CN44" s="26">
        <v>0</v>
      </c>
      <c r="CO44" s="26">
        <v>0</v>
      </c>
      <c r="CP44" s="26">
        <v>0</v>
      </c>
      <c r="CQ44" s="26">
        <v>0</v>
      </c>
      <c r="CR44" s="26">
        <v>0</v>
      </c>
      <c r="CS44" s="26">
        <v>1</v>
      </c>
      <c r="CT44" s="26">
        <v>0</v>
      </c>
      <c r="CU44" s="26">
        <v>0</v>
      </c>
      <c r="CV44" s="26">
        <v>0</v>
      </c>
      <c r="CW44" s="26">
        <v>0</v>
      </c>
      <c r="CX44" s="26">
        <v>0</v>
      </c>
      <c r="CY44" s="26">
        <v>1</v>
      </c>
      <c r="CZ44" s="26">
        <v>0</v>
      </c>
      <c r="DA44" s="26">
        <v>0</v>
      </c>
      <c r="DB44" s="26">
        <v>1</v>
      </c>
      <c r="DC44" s="26">
        <v>0</v>
      </c>
      <c r="DD44" s="26">
        <v>0</v>
      </c>
      <c r="DE44" s="26">
        <v>0</v>
      </c>
      <c r="DF44" s="26">
        <v>0</v>
      </c>
      <c r="DG44" s="26">
        <v>0</v>
      </c>
      <c r="DH44" s="26">
        <v>0</v>
      </c>
      <c r="DI44" s="26">
        <v>0</v>
      </c>
      <c r="DJ44" s="26">
        <v>0</v>
      </c>
      <c r="DK44" s="26">
        <v>1</v>
      </c>
      <c r="DL44" s="26">
        <v>0</v>
      </c>
      <c r="DM44" s="26">
        <v>0</v>
      </c>
      <c r="DN44" s="26">
        <v>0</v>
      </c>
      <c r="DO44" s="26">
        <v>0</v>
      </c>
      <c r="DP44" s="26">
        <v>0</v>
      </c>
      <c r="DQ44" s="26">
        <v>0</v>
      </c>
      <c r="DR44" s="26">
        <v>0</v>
      </c>
      <c r="DS44" s="26">
        <v>0</v>
      </c>
      <c r="DT44" s="26">
        <v>0</v>
      </c>
      <c r="DU44" s="26">
        <v>0</v>
      </c>
      <c r="DV44" s="26">
        <v>0</v>
      </c>
      <c r="DW44" s="26">
        <v>0</v>
      </c>
      <c r="DX44" s="30">
        <v>0</v>
      </c>
      <c r="DY44" s="4"/>
    </row>
    <row r="45" spans="1:129" ht="15" customHeight="1">
      <c r="B45" s="32">
        <v>44706</v>
      </c>
      <c r="C45" s="27" t="s">
        <v>215</v>
      </c>
      <c r="D45" s="27" t="s">
        <v>216</v>
      </c>
      <c r="E45" s="27">
        <v>2</v>
      </c>
      <c r="F45" s="27">
        <v>2</v>
      </c>
      <c r="G45" s="27">
        <v>0</v>
      </c>
      <c r="H45" s="27">
        <v>0</v>
      </c>
      <c r="I45" s="27">
        <v>0</v>
      </c>
      <c r="J45" s="27">
        <v>0</v>
      </c>
      <c r="K45" s="27">
        <v>68</v>
      </c>
      <c r="L45" s="27">
        <v>36</v>
      </c>
      <c r="M45" s="27">
        <v>32</v>
      </c>
      <c r="N45" s="27">
        <v>0</v>
      </c>
      <c r="O45" s="27">
        <f t="shared" si="2"/>
        <v>68</v>
      </c>
      <c r="P45" s="27" t="s">
        <v>193</v>
      </c>
      <c r="Q45" s="30" t="s">
        <v>246</v>
      </c>
      <c r="R45" s="30"/>
      <c r="S45" s="30"/>
      <c r="U45" s="27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30"/>
      <c r="AI45" s="30"/>
      <c r="AJ45" s="30"/>
      <c r="AK45" s="30"/>
      <c r="AL45" s="30"/>
      <c r="AM45" s="30"/>
      <c r="AO45" s="30" t="s">
        <v>220</v>
      </c>
      <c r="AP45" s="30" t="s">
        <v>221</v>
      </c>
      <c r="AQ45" s="30"/>
      <c r="AR45" s="30">
        <v>3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26">
        <v>0</v>
      </c>
      <c r="AY45" s="26">
        <v>0</v>
      </c>
      <c r="AZ45" s="26">
        <v>0</v>
      </c>
      <c r="BA45" s="26">
        <v>0</v>
      </c>
      <c r="BB45" s="30">
        <v>0</v>
      </c>
      <c r="BC45" s="30">
        <v>5</v>
      </c>
      <c r="BD45" s="30">
        <v>0</v>
      </c>
      <c r="BE45" s="30">
        <v>0</v>
      </c>
      <c r="BF45" s="30">
        <v>0</v>
      </c>
      <c r="BG45" s="30">
        <v>1</v>
      </c>
      <c r="BH45" s="26">
        <v>0</v>
      </c>
      <c r="BI45" s="26">
        <v>0</v>
      </c>
      <c r="BJ45" s="26">
        <v>2</v>
      </c>
      <c r="BK45" s="26">
        <v>2</v>
      </c>
      <c r="BL45" s="26">
        <v>0</v>
      </c>
      <c r="BM45" s="26">
        <v>1</v>
      </c>
      <c r="BN45" s="26">
        <v>0</v>
      </c>
      <c r="BO45" s="26">
        <v>0</v>
      </c>
      <c r="BP45" s="26">
        <v>0</v>
      </c>
      <c r="BQ45" s="26">
        <v>0</v>
      </c>
      <c r="BR45" s="26">
        <v>0</v>
      </c>
      <c r="BS45" s="26">
        <v>1</v>
      </c>
      <c r="BT45" s="26">
        <v>1</v>
      </c>
      <c r="BU45" s="26">
        <v>1</v>
      </c>
      <c r="BV45" s="30">
        <v>1</v>
      </c>
      <c r="BW45" s="30">
        <v>0</v>
      </c>
      <c r="BX45" s="30">
        <v>0</v>
      </c>
      <c r="BY45" s="30">
        <v>3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26">
        <v>0</v>
      </c>
      <c r="CF45" s="26">
        <v>4</v>
      </c>
      <c r="CG45" s="26">
        <v>0</v>
      </c>
      <c r="CH45" s="26">
        <v>0</v>
      </c>
      <c r="CI45" s="26">
        <v>0</v>
      </c>
      <c r="CJ45" s="26">
        <v>0</v>
      </c>
      <c r="CK45" s="26">
        <v>0</v>
      </c>
      <c r="CL45" s="26">
        <v>0</v>
      </c>
      <c r="CM45" s="26">
        <v>0</v>
      </c>
      <c r="CN45" s="26">
        <v>0</v>
      </c>
      <c r="CO45" s="26">
        <v>0</v>
      </c>
      <c r="CP45" s="26">
        <v>0</v>
      </c>
      <c r="CQ45" s="26">
        <v>0</v>
      </c>
      <c r="CR45" s="26">
        <v>0</v>
      </c>
      <c r="CS45" s="26">
        <v>0</v>
      </c>
      <c r="CT45" s="26">
        <v>0</v>
      </c>
      <c r="CU45" s="26">
        <v>0</v>
      </c>
      <c r="CV45" s="26">
        <v>1</v>
      </c>
      <c r="CW45" s="26">
        <v>0</v>
      </c>
      <c r="CX45" s="26">
        <v>0</v>
      </c>
      <c r="CY45" s="26">
        <v>0</v>
      </c>
      <c r="CZ45" s="26">
        <v>0</v>
      </c>
      <c r="DA45" s="26">
        <v>0</v>
      </c>
      <c r="DB45" s="26">
        <v>0</v>
      </c>
      <c r="DC45" s="26">
        <v>0</v>
      </c>
      <c r="DD45" s="26">
        <v>0</v>
      </c>
      <c r="DE45" s="26">
        <v>0</v>
      </c>
      <c r="DF45" s="26">
        <v>0</v>
      </c>
      <c r="DG45" s="26">
        <v>1</v>
      </c>
      <c r="DH45" s="26">
        <v>0</v>
      </c>
      <c r="DI45" s="26">
        <v>0</v>
      </c>
      <c r="DJ45" s="26">
        <v>0</v>
      </c>
      <c r="DK45" s="26">
        <v>1</v>
      </c>
      <c r="DL45" s="26">
        <v>0</v>
      </c>
      <c r="DM45" s="26">
        <v>0</v>
      </c>
      <c r="DN45" s="26">
        <v>0</v>
      </c>
      <c r="DO45" s="26">
        <v>0</v>
      </c>
      <c r="DP45" s="26">
        <v>0</v>
      </c>
      <c r="DQ45" s="26">
        <v>0</v>
      </c>
      <c r="DR45" s="26">
        <v>0</v>
      </c>
      <c r="DS45" s="26">
        <v>0</v>
      </c>
      <c r="DT45" s="26">
        <v>0</v>
      </c>
      <c r="DU45" s="26">
        <v>0</v>
      </c>
      <c r="DV45" s="26">
        <v>0</v>
      </c>
      <c r="DW45" s="26">
        <v>0</v>
      </c>
      <c r="DX45" s="30">
        <v>0</v>
      </c>
      <c r="DY45" s="4"/>
    </row>
    <row r="46" spans="1:129" ht="15" customHeight="1">
      <c r="A46" s="45" t="s">
        <v>264</v>
      </c>
      <c r="B46" s="15" t="s">
        <v>222</v>
      </c>
      <c r="C46" s="3" t="s">
        <v>223</v>
      </c>
      <c r="D46" s="3" t="s">
        <v>224</v>
      </c>
      <c r="E46" s="3">
        <v>2</v>
      </c>
      <c r="F46" s="3">
        <v>2</v>
      </c>
      <c r="G46" s="3">
        <v>0</v>
      </c>
      <c r="H46" s="3">
        <v>0</v>
      </c>
      <c r="I46" s="3">
        <v>0</v>
      </c>
      <c r="J46" s="3">
        <v>0</v>
      </c>
      <c r="K46" s="3">
        <v>46</v>
      </c>
      <c r="L46" s="3">
        <v>25</v>
      </c>
      <c r="M46" s="3">
        <v>21</v>
      </c>
      <c r="N46" s="3">
        <v>0</v>
      </c>
      <c r="O46" s="3">
        <f t="shared" si="2"/>
        <v>46</v>
      </c>
      <c r="P46" s="5" t="s">
        <v>225</v>
      </c>
      <c r="Q46" s="3" t="s">
        <v>113</v>
      </c>
      <c r="R46" s="5">
        <v>40</v>
      </c>
      <c r="S46" s="5">
        <v>2</v>
      </c>
      <c r="U46" s="5">
        <v>0</v>
      </c>
      <c r="V46" s="4">
        <v>0</v>
      </c>
      <c r="W46" s="4">
        <v>1</v>
      </c>
      <c r="X46" s="4">
        <v>14</v>
      </c>
      <c r="Y46" s="4">
        <v>22</v>
      </c>
      <c r="Z46" s="4">
        <v>3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40</v>
      </c>
      <c r="AH46" s="4">
        <v>19</v>
      </c>
      <c r="AI46" s="4">
        <v>19</v>
      </c>
      <c r="AJ46" s="4">
        <v>2</v>
      </c>
      <c r="AK46" s="4">
        <v>0</v>
      </c>
      <c r="AL46" s="4">
        <v>0</v>
      </c>
      <c r="AM46" s="4">
        <v>40</v>
      </c>
      <c r="AO46" s="5" t="s">
        <v>226</v>
      </c>
      <c r="AP46" s="5" t="s">
        <v>227</v>
      </c>
      <c r="AR46" s="3">
        <v>1</v>
      </c>
      <c r="AS46" s="5">
        <v>0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2</v>
      </c>
      <c r="AZ46" s="5">
        <v>1</v>
      </c>
      <c r="BA46" s="5">
        <v>0</v>
      </c>
      <c r="BB46" s="5">
        <v>1</v>
      </c>
      <c r="BC46" s="3">
        <v>2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1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1</v>
      </c>
      <c r="BS46" s="5">
        <v>0</v>
      </c>
      <c r="BT46" s="5">
        <v>0</v>
      </c>
      <c r="BU46" s="3">
        <v>2</v>
      </c>
      <c r="BV46" s="3">
        <v>2</v>
      </c>
      <c r="BW46" s="4">
        <v>0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4">
        <v>0</v>
      </c>
      <c r="CD46" s="4">
        <v>1</v>
      </c>
      <c r="CE46" s="4">
        <v>0</v>
      </c>
      <c r="CF46" s="4">
        <v>2</v>
      </c>
      <c r="CG46" s="4">
        <v>0</v>
      </c>
      <c r="CH46" s="4">
        <v>1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3">
        <v>2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5">
        <v>1</v>
      </c>
      <c r="DA46" s="5">
        <v>0</v>
      </c>
      <c r="DB46" s="5">
        <v>0</v>
      </c>
      <c r="DC46" s="5">
        <v>0</v>
      </c>
      <c r="DD46" s="5">
        <v>0</v>
      </c>
      <c r="DE46" s="5">
        <v>1</v>
      </c>
      <c r="DF46" s="5">
        <v>1</v>
      </c>
      <c r="DG46" s="5">
        <v>1</v>
      </c>
      <c r="DH46" s="5">
        <v>0</v>
      </c>
      <c r="DI46" s="5">
        <v>0</v>
      </c>
      <c r="DJ46" s="5">
        <v>1</v>
      </c>
      <c r="DK46" s="5">
        <v>0</v>
      </c>
      <c r="DL46" s="5">
        <v>1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/>
    </row>
    <row r="47" spans="1:129" ht="15" customHeight="1">
      <c r="A47" s="45" t="s">
        <v>265</v>
      </c>
      <c r="B47" s="6">
        <v>44708</v>
      </c>
      <c r="C47" s="3" t="s">
        <v>228</v>
      </c>
      <c r="D47" s="7" t="s">
        <v>229</v>
      </c>
      <c r="E47" s="3">
        <v>2</v>
      </c>
      <c r="F47" s="3">
        <v>2</v>
      </c>
      <c r="G47" s="3">
        <v>0</v>
      </c>
      <c r="H47" s="3">
        <v>0</v>
      </c>
      <c r="I47" s="3">
        <v>0</v>
      </c>
      <c r="J47" s="3">
        <v>0</v>
      </c>
      <c r="K47" s="3">
        <v>66</v>
      </c>
      <c r="L47" s="3">
        <v>30</v>
      </c>
      <c r="M47" s="3">
        <v>36</v>
      </c>
      <c r="N47" s="3">
        <v>0</v>
      </c>
      <c r="O47" s="3">
        <f t="shared" si="2"/>
        <v>66</v>
      </c>
      <c r="P47" s="3" t="s">
        <v>225</v>
      </c>
      <c r="Q47" s="3" t="s">
        <v>113</v>
      </c>
      <c r="R47" s="5">
        <v>47</v>
      </c>
      <c r="S47" s="5">
        <v>2</v>
      </c>
      <c r="U47" s="5">
        <v>0</v>
      </c>
      <c r="V47" s="4">
        <v>0</v>
      </c>
      <c r="W47" s="3">
        <v>0</v>
      </c>
      <c r="X47" s="4">
        <v>14</v>
      </c>
      <c r="Y47" s="4">
        <v>23</v>
      </c>
      <c r="Z47" s="4">
        <v>10</v>
      </c>
      <c r="AA47" s="3">
        <v>0</v>
      </c>
      <c r="AB47" s="3">
        <v>0</v>
      </c>
      <c r="AC47" s="3">
        <v>0</v>
      </c>
      <c r="AD47" s="3">
        <v>0</v>
      </c>
      <c r="AE47" s="5">
        <v>0</v>
      </c>
      <c r="AF47" s="5">
        <v>47</v>
      </c>
      <c r="AG47" s="3"/>
      <c r="AH47" s="4">
        <v>25</v>
      </c>
      <c r="AI47" s="4">
        <v>15</v>
      </c>
      <c r="AJ47" s="4">
        <v>4</v>
      </c>
      <c r="AK47" s="4">
        <v>2</v>
      </c>
      <c r="AL47" s="4">
        <v>1</v>
      </c>
      <c r="AM47" s="4">
        <v>47</v>
      </c>
      <c r="AO47" s="5" t="s">
        <v>230</v>
      </c>
      <c r="AP47" s="5" t="s">
        <v>231</v>
      </c>
      <c r="AR47" s="4">
        <v>0</v>
      </c>
      <c r="AS47" s="4">
        <v>1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2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1</v>
      </c>
      <c r="BL47" s="4">
        <v>2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1</v>
      </c>
      <c r="BV47" s="4">
        <v>0</v>
      </c>
      <c r="BW47" s="4">
        <v>0</v>
      </c>
      <c r="BX47" s="4">
        <v>1</v>
      </c>
      <c r="BY47" s="4">
        <v>2</v>
      </c>
      <c r="BZ47" s="4">
        <v>2</v>
      </c>
      <c r="CA47" s="4">
        <v>0</v>
      </c>
      <c r="CB47" s="4">
        <v>0</v>
      </c>
      <c r="CC47" s="4">
        <v>0</v>
      </c>
      <c r="CD47" s="4">
        <v>1</v>
      </c>
      <c r="CE47" s="4">
        <v>0</v>
      </c>
      <c r="CF47" s="4">
        <v>14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1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1</v>
      </c>
      <c r="DI47" s="4">
        <v>0</v>
      </c>
      <c r="DJ47" s="4">
        <v>0</v>
      </c>
      <c r="DK47" s="4">
        <v>0</v>
      </c>
      <c r="DL47" s="4">
        <v>1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1</v>
      </c>
      <c r="DU47" s="4">
        <v>0</v>
      </c>
      <c r="DV47" s="4">
        <v>0</v>
      </c>
      <c r="DW47" s="4">
        <v>0</v>
      </c>
      <c r="DX47" s="4">
        <v>0</v>
      </c>
      <c r="DY47" s="4"/>
    </row>
    <row r="48" spans="1:129" ht="15" customHeight="1">
      <c r="O48" s="3"/>
    </row>
    <row r="49" spans="1:129" ht="15" customHeight="1">
      <c r="B49" s="44">
        <v>44713</v>
      </c>
    </row>
    <row r="50" spans="1:129" ht="13">
      <c r="B50" s="22">
        <v>44714</v>
      </c>
      <c r="C50" s="23" t="s">
        <v>215</v>
      </c>
      <c r="D50" s="24" t="s">
        <v>216</v>
      </c>
      <c r="E50" s="23">
        <v>1</v>
      </c>
      <c r="F50" s="23">
        <v>1</v>
      </c>
      <c r="G50" s="23">
        <v>0</v>
      </c>
      <c r="H50" s="23">
        <v>0</v>
      </c>
      <c r="I50" s="23">
        <v>0</v>
      </c>
      <c r="J50" s="23">
        <v>0</v>
      </c>
      <c r="K50" s="25">
        <v>71</v>
      </c>
      <c r="L50" s="25">
        <v>40</v>
      </c>
      <c r="M50" s="25">
        <v>31</v>
      </c>
      <c r="N50" s="23">
        <v>0</v>
      </c>
      <c r="O50" s="25">
        <v>71</v>
      </c>
      <c r="P50" s="23" t="s">
        <v>232</v>
      </c>
      <c r="Q50" s="26" t="s">
        <v>246</v>
      </c>
      <c r="U50" s="23"/>
      <c r="AH50" s="26"/>
      <c r="AI50" s="26"/>
      <c r="AJ50" s="26"/>
      <c r="AK50" s="26"/>
      <c r="AL50" s="26"/>
      <c r="AM50" s="26"/>
      <c r="AO50" s="27" t="s">
        <v>233</v>
      </c>
      <c r="AP50" s="28" t="s">
        <v>234</v>
      </c>
      <c r="AQ50" s="26"/>
      <c r="AR50" s="26">
        <v>13</v>
      </c>
      <c r="AS50" s="26">
        <v>0</v>
      </c>
      <c r="AT50" s="26">
        <v>1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4</v>
      </c>
      <c r="BD50" s="26">
        <v>0</v>
      </c>
      <c r="BE50" s="26">
        <v>0</v>
      </c>
      <c r="BF50" s="26">
        <v>0</v>
      </c>
      <c r="BG50" s="26">
        <v>0</v>
      </c>
      <c r="BH50" s="27">
        <v>0</v>
      </c>
      <c r="BI50" s="27">
        <v>0</v>
      </c>
      <c r="BJ50" s="26">
        <v>2</v>
      </c>
      <c r="BK50" s="27">
        <v>0</v>
      </c>
      <c r="BL50" s="27">
        <v>0</v>
      </c>
      <c r="BM50" s="27">
        <v>0</v>
      </c>
      <c r="BN50" s="27">
        <v>0</v>
      </c>
      <c r="BO50" s="27">
        <v>0</v>
      </c>
      <c r="BP50" s="26">
        <v>0</v>
      </c>
      <c r="BQ50" s="27">
        <v>0</v>
      </c>
      <c r="BR50" s="26">
        <v>1</v>
      </c>
      <c r="BS50" s="26">
        <v>0</v>
      </c>
      <c r="BT50" s="26">
        <v>0</v>
      </c>
      <c r="BU50" s="27">
        <v>1</v>
      </c>
      <c r="BV50" s="27">
        <v>0</v>
      </c>
      <c r="BW50" s="26">
        <v>0</v>
      </c>
      <c r="BX50" s="27">
        <v>0</v>
      </c>
      <c r="BY50" s="26">
        <v>2</v>
      </c>
      <c r="BZ50" s="27">
        <v>0</v>
      </c>
      <c r="CA50" s="27">
        <v>0</v>
      </c>
      <c r="CB50" s="26">
        <v>0</v>
      </c>
      <c r="CC50" s="26">
        <v>0</v>
      </c>
      <c r="CD50" s="27">
        <v>0</v>
      </c>
      <c r="CE50" s="27">
        <v>0</v>
      </c>
      <c r="CF50" s="27">
        <v>1</v>
      </c>
      <c r="CG50" s="27">
        <v>0</v>
      </c>
      <c r="CH50" s="27">
        <v>0</v>
      </c>
      <c r="CI50" s="27">
        <v>0</v>
      </c>
      <c r="CJ50" s="27">
        <v>0</v>
      </c>
      <c r="CK50" s="27">
        <v>0</v>
      </c>
      <c r="CL50" s="27">
        <v>1</v>
      </c>
      <c r="CM50" s="27">
        <v>0</v>
      </c>
      <c r="CN50" s="27">
        <v>0</v>
      </c>
      <c r="CO50" s="27">
        <v>0</v>
      </c>
      <c r="CP50" s="27">
        <v>0</v>
      </c>
      <c r="CQ50" s="27">
        <v>0</v>
      </c>
      <c r="CR50" s="27">
        <v>0</v>
      </c>
      <c r="CS50" s="27">
        <v>0</v>
      </c>
      <c r="CT50" s="27">
        <v>0</v>
      </c>
      <c r="CU50" s="27">
        <v>0</v>
      </c>
      <c r="CV50" s="27">
        <v>0</v>
      </c>
      <c r="CW50" s="27">
        <v>0</v>
      </c>
      <c r="CX50" s="26">
        <v>0</v>
      </c>
      <c r="CY50" s="27">
        <v>1</v>
      </c>
      <c r="CZ50" s="26">
        <v>0</v>
      </c>
      <c r="DA50" s="26">
        <v>0</v>
      </c>
      <c r="DB50" s="26">
        <v>0</v>
      </c>
      <c r="DC50" s="26">
        <v>0</v>
      </c>
      <c r="DD50" s="26">
        <v>0</v>
      </c>
      <c r="DE50" s="26">
        <v>0</v>
      </c>
      <c r="DF50" s="26">
        <v>0</v>
      </c>
      <c r="DG50" s="26">
        <v>0</v>
      </c>
      <c r="DH50" s="26">
        <v>0</v>
      </c>
      <c r="DI50" s="26">
        <v>0</v>
      </c>
      <c r="DJ50" s="26">
        <v>0</v>
      </c>
      <c r="DK50" s="26">
        <v>0</v>
      </c>
      <c r="DL50" s="26">
        <v>0</v>
      </c>
      <c r="DM50" s="26">
        <v>0</v>
      </c>
      <c r="DN50" s="26">
        <v>0</v>
      </c>
      <c r="DO50" s="26">
        <v>0</v>
      </c>
      <c r="DP50" s="26">
        <v>0</v>
      </c>
      <c r="DQ50" s="26">
        <v>0</v>
      </c>
      <c r="DR50" s="26">
        <v>0</v>
      </c>
      <c r="DS50" s="26">
        <v>0</v>
      </c>
      <c r="DT50" s="26">
        <v>0</v>
      </c>
      <c r="DU50" s="26">
        <v>0</v>
      </c>
      <c r="DV50" s="26">
        <v>1</v>
      </c>
      <c r="DW50" s="26">
        <v>1</v>
      </c>
      <c r="DX50" s="25">
        <v>1</v>
      </c>
      <c r="DY50" s="5"/>
    </row>
    <row r="51" spans="1:129" ht="13">
      <c r="A51" s="47">
        <v>25</v>
      </c>
      <c r="B51" s="6">
        <v>44726</v>
      </c>
      <c r="C51" s="3" t="s">
        <v>235</v>
      </c>
      <c r="D51" s="9" t="s">
        <v>236</v>
      </c>
      <c r="E51" s="5">
        <v>1</v>
      </c>
      <c r="F51" s="5">
        <v>1</v>
      </c>
      <c r="G51" s="3">
        <v>0</v>
      </c>
      <c r="H51" s="3">
        <v>0</v>
      </c>
      <c r="I51" s="3">
        <v>0</v>
      </c>
      <c r="J51" s="3">
        <v>0</v>
      </c>
      <c r="K51" s="5">
        <v>14</v>
      </c>
      <c r="L51" s="5">
        <v>7</v>
      </c>
      <c r="M51" s="5">
        <v>7</v>
      </c>
      <c r="N51" s="3">
        <v>0</v>
      </c>
      <c r="O51" s="5">
        <v>14</v>
      </c>
      <c r="P51" s="3" t="s">
        <v>232</v>
      </c>
      <c r="Q51" s="3" t="s">
        <v>113</v>
      </c>
      <c r="R51" s="5">
        <v>14</v>
      </c>
      <c r="S51" s="5">
        <v>2</v>
      </c>
      <c r="U51" s="5">
        <v>1</v>
      </c>
      <c r="V51" s="4">
        <v>1</v>
      </c>
      <c r="W51" s="4">
        <v>6</v>
      </c>
      <c r="X51" s="4">
        <v>3</v>
      </c>
      <c r="Y51" s="4">
        <v>2</v>
      </c>
      <c r="Z51" s="4">
        <v>1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14</v>
      </c>
      <c r="AH51" s="4">
        <v>4</v>
      </c>
      <c r="AI51" s="4">
        <v>9</v>
      </c>
      <c r="AJ51" s="4">
        <v>1</v>
      </c>
      <c r="AK51" s="4">
        <v>0</v>
      </c>
      <c r="AL51" s="4">
        <v>0</v>
      </c>
      <c r="AM51" s="4">
        <v>14</v>
      </c>
      <c r="AO51" s="3" t="s">
        <v>237</v>
      </c>
      <c r="AP51" s="4" t="s">
        <v>146</v>
      </c>
      <c r="AR51" s="3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3">
        <v>0</v>
      </c>
      <c r="BD51" s="5">
        <v>0</v>
      </c>
      <c r="BE51" s="5">
        <v>0</v>
      </c>
      <c r="BF51" s="5">
        <v>0</v>
      </c>
      <c r="BG51" s="5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5">
        <v>0</v>
      </c>
      <c r="BQ51" s="3">
        <v>0</v>
      </c>
      <c r="BR51" s="3">
        <v>0</v>
      </c>
      <c r="BS51" s="5">
        <v>0</v>
      </c>
      <c r="BT51" s="5">
        <v>0</v>
      </c>
      <c r="BU51" s="3">
        <v>0</v>
      </c>
      <c r="BV51" s="5">
        <v>1</v>
      </c>
      <c r="BW51" s="5">
        <v>0</v>
      </c>
      <c r="BX51" s="3">
        <v>0</v>
      </c>
      <c r="BY51" s="3">
        <v>0</v>
      </c>
      <c r="BZ51" s="3">
        <v>0</v>
      </c>
      <c r="CA51" s="3">
        <v>0</v>
      </c>
      <c r="CB51" s="5">
        <v>0</v>
      </c>
      <c r="CC51" s="5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5">
        <v>1</v>
      </c>
      <c r="CT51" s="3">
        <v>0</v>
      </c>
      <c r="CU51" s="3">
        <v>0</v>
      </c>
      <c r="CV51" s="5">
        <v>1</v>
      </c>
      <c r="CW51" s="3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/>
    </row>
    <row r="52" spans="1:129" ht="13">
      <c r="A52" s="45" t="s">
        <v>266</v>
      </c>
      <c r="B52" s="6">
        <v>44727</v>
      </c>
      <c r="C52" s="3" t="s">
        <v>238</v>
      </c>
      <c r="D52" s="9" t="s">
        <v>239</v>
      </c>
      <c r="E52" s="3">
        <v>3</v>
      </c>
      <c r="F52" s="3">
        <v>3</v>
      </c>
      <c r="G52" s="3">
        <v>0</v>
      </c>
      <c r="H52" s="3">
        <v>0</v>
      </c>
      <c r="I52" s="3">
        <v>0</v>
      </c>
      <c r="J52" s="3">
        <v>0</v>
      </c>
      <c r="K52" s="3">
        <v>86</v>
      </c>
      <c r="L52" s="5">
        <v>52</v>
      </c>
      <c r="M52" s="5">
        <v>34</v>
      </c>
      <c r="N52" s="3">
        <v>0</v>
      </c>
      <c r="O52" s="5">
        <v>86</v>
      </c>
      <c r="P52" s="3" t="s">
        <v>240</v>
      </c>
      <c r="Q52" s="3" t="s">
        <v>113</v>
      </c>
      <c r="R52" s="5">
        <v>44</v>
      </c>
      <c r="S52" s="5">
        <v>2</v>
      </c>
      <c r="U52" s="5">
        <v>1</v>
      </c>
      <c r="V52" s="4">
        <v>0</v>
      </c>
      <c r="W52" s="4">
        <v>0</v>
      </c>
      <c r="X52" s="4">
        <v>13</v>
      </c>
      <c r="Y52" s="4">
        <v>27</v>
      </c>
      <c r="Z52" s="4">
        <v>3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44</v>
      </c>
      <c r="AH52" s="4">
        <v>18</v>
      </c>
      <c r="AI52" s="4">
        <v>21</v>
      </c>
      <c r="AJ52" s="4">
        <v>5</v>
      </c>
      <c r="AK52" s="4">
        <v>0</v>
      </c>
      <c r="AL52" s="4">
        <v>0</v>
      </c>
      <c r="AM52" s="4">
        <v>44</v>
      </c>
      <c r="AO52" s="3" t="s">
        <v>241</v>
      </c>
      <c r="AP52" s="5" t="s">
        <v>242</v>
      </c>
      <c r="AR52" s="5">
        <v>2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3">
        <v>0</v>
      </c>
      <c r="BD52" s="5">
        <v>0</v>
      </c>
      <c r="BE52" s="5">
        <v>0</v>
      </c>
      <c r="BF52" s="5">
        <v>0</v>
      </c>
      <c r="BG52" s="5">
        <v>0</v>
      </c>
      <c r="BH52" s="3">
        <v>0</v>
      </c>
      <c r="BI52" s="5">
        <v>1</v>
      </c>
      <c r="BJ52" s="5">
        <v>2</v>
      </c>
      <c r="BK52" s="3">
        <v>0</v>
      </c>
      <c r="BL52" s="3">
        <v>0</v>
      </c>
      <c r="BM52" s="3">
        <v>1</v>
      </c>
      <c r="BN52" s="3">
        <v>0</v>
      </c>
      <c r="BO52" s="3">
        <v>0</v>
      </c>
      <c r="BP52" s="5">
        <v>0</v>
      </c>
      <c r="BQ52" s="3">
        <v>0</v>
      </c>
      <c r="BR52" s="5">
        <v>5</v>
      </c>
      <c r="BS52" s="5">
        <v>0</v>
      </c>
      <c r="BT52" s="5">
        <v>0</v>
      </c>
      <c r="BU52" s="3">
        <v>0</v>
      </c>
      <c r="BV52" s="3">
        <v>0</v>
      </c>
      <c r="BW52" s="5">
        <v>0</v>
      </c>
      <c r="BX52" s="3">
        <v>0</v>
      </c>
      <c r="BY52" s="3">
        <v>0</v>
      </c>
      <c r="BZ52" s="3">
        <v>0</v>
      </c>
      <c r="CA52" s="3">
        <v>0</v>
      </c>
      <c r="CB52" s="5">
        <v>0</v>
      </c>
      <c r="CC52" s="5">
        <v>0</v>
      </c>
      <c r="CD52" s="5">
        <v>2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1</v>
      </c>
      <c r="CT52" s="3">
        <v>0</v>
      </c>
      <c r="CU52" s="3">
        <v>0</v>
      </c>
      <c r="CV52" s="3">
        <v>0</v>
      </c>
      <c r="CW52" s="3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/>
    </row>
    <row r="53" spans="1:129" ht="13">
      <c r="D53" s="17" t="s">
        <v>245</v>
      </c>
      <c r="E53" s="18">
        <f t="shared" ref="E53:J53" si="3">SUM(E6:E52)</f>
        <v>76</v>
      </c>
      <c r="F53" s="18">
        <f t="shared" si="3"/>
        <v>52</v>
      </c>
      <c r="G53" s="18">
        <f t="shared" si="3"/>
        <v>13</v>
      </c>
      <c r="H53" s="18">
        <f t="shared" si="3"/>
        <v>11</v>
      </c>
      <c r="I53" s="18">
        <f t="shared" si="3"/>
        <v>0</v>
      </c>
      <c r="J53" s="18">
        <f t="shared" si="3"/>
        <v>0</v>
      </c>
      <c r="K53" s="19">
        <v>1841</v>
      </c>
      <c r="L53" s="18">
        <f t="shared" ref="L53:M53" si="4">SUM(L6:L52)</f>
        <v>964</v>
      </c>
      <c r="M53" s="18">
        <f t="shared" si="4"/>
        <v>877</v>
      </c>
      <c r="N53" s="18">
        <v>0</v>
      </c>
      <c r="O53" s="20">
        <v>1841</v>
      </c>
      <c r="P53" s="21"/>
      <c r="Q53" s="21"/>
      <c r="R53" s="20">
        <v>941</v>
      </c>
      <c r="S53" s="20">
        <v>50</v>
      </c>
      <c r="U53" s="20">
        <v>7</v>
      </c>
      <c r="V53" s="20">
        <v>9</v>
      </c>
      <c r="W53" s="20">
        <v>116</v>
      </c>
      <c r="X53" s="20">
        <v>227</v>
      </c>
      <c r="Y53" s="20">
        <v>225</v>
      </c>
      <c r="Z53" s="20">
        <v>230</v>
      </c>
      <c r="AA53" s="20">
        <v>76</v>
      </c>
      <c r="AB53" s="20">
        <v>7</v>
      </c>
      <c r="AC53" s="20">
        <v>43</v>
      </c>
      <c r="AD53" s="20">
        <v>1</v>
      </c>
      <c r="AE53" s="20">
        <v>0</v>
      </c>
      <c r="AF53" s="20">
        <v>941</v>
      </c>
      <c r="AG53" s="21"/>
      <c r="AH53" s="20">
        <v>598</v>
      </c>
      <c r="AI53" s="20">
        <v>267</v>
      </c>
      <c r="AJ53" s="20">
        <v>63</v>
      </c>
      <c r="AK53" s="20">
        <v>6</v>
      </c>
      <c r="AL53" s="20">
        <v>7</v>
      </c>
      <c r="AM53" s="20">
        <v>941</v>
      </c>
      <c r="AO53" s="21"/>
      <c r="AP53" s="21"/>
      <c r="AQ53" s="21"/>
      <c r="AR53" s="20">
        <v>122</v>
      </c>
      <c r="AS53" s="20">
        <v>5</v>
      </c>
      <c r="AT53" s="20">
        <v>5</v>
      </c>
      <c r="AU53" s="20">
        <v>1</v>
      </c>
      <c r="AV53" s="20">
        <v>1</v>
      </c>
      <c r="AW53" s="20">
        <v>1</v>
      </c>
      <c r="AX53" s="20">
        <v>1</v>
      </c>
      <c r="AY53" s="20">
        <v>2</v>
      </c>
      <c r="AZ53" s="20">
        <v>1</v>
      </c>
      <c r="BA53" s="20">
        <v>1</v>
      </c>
      <c r="BB53" s="20">
        <v>19</v>
      </c>
      <c r="BC53" s="20">
        <v>100</v>
      </c>
      <c r="BD53" s="20">
        <v>1</v>
      </c>
      <c r="BE53" s="20">
        <v>1</v>
      </c>
      <c r="BF53" s="20">
        <v>2</v>
      </c>
      <c r="BG53" s="20">
        <v>3</v>
      </c>
      <c r="BH53" s="20">
        <v>35</v>
      </c>
      <c r="BI53" s="20">
        <v>11</v>
      </c>
      <c r="BJ53" s="20">
        <v>41</v>
      </c>
      <c r="BK53" s="20">
        <v>16</v>
      </c>
      <c r="BL53" s="20">
        <v>8</v>
      </c>
      <c r="BM53" s="20">
        <v>15</v>
      </c>
      <c r="BN53" s="20">
        <v>11</v>
      </c>
      <c r="BO53" s="20">
        <v>7</v>
      </c>
      <c r="BP53" s="20">
        <v>2</v>
      </c>
      <c r="BQ53" s="20">
        <v>4</v>
      </c>
      <c r="BR53" s="20">
        <v>18</v>
      </c>
      <c r="BS53" s="20">
        <v>1</v>
      </c>
      <c r="BT53" s="20">
        <v>1</v>
      </c>
      <c r="BU53" s="20">
        <v>9</v>
      </c>
      <c r="BV53" s="20">
        <v>12</v>
      </c>
      <c r="BW53" s="20">
        <v>1</v>
      </c>
      <c r="BX53" s="20">
        <v>13</v>
      </c>
      <c r="BY53" s="20">
        <v>28</v>
      </c>
      <c r="BZ53" s="20">
        <v>7</v>
      </c>
      <c r="CA53" s="20">
        <v>5</v>
      </c>
      <c r="CB53" s="20">
        <v>1</v>
      </c>
      <c r="CC53" s="20">
        <v>1</v>
      </c>
      <c r="CD53" s="20">
        <v>23</v>
      </c>
      <c r="CE53" s="20">
        <v>3</v>
      </c>
      <c r="CF53" s="20">
        <v>51</v>
      </c>
      <c r="CG53" s="20">
        <v>10</v>
      </c>
      <c r="CH53" s="20">
        <v>3</v>
      </c>
      <c r="CI53" s="20">
        <v>3</v>
      </c>
      <c r="CJ53" s="20">
        <v>1</v>
      </c>
      <c r="CK53" s="20">
        <v>3</v>
      </c>
      <c r="CL53" s="20">
        <v>11</v>
      </c>
      <c r="CM53" s="20">
        <v>3</v>
      </c>
      <c r="CN53" s="20">
        <v>7</v>
      </c>
      <c r="CO53" s="20">
        <v>5</v>
      </c>
      <c r="CP53" s="20">
        <v>7</v>
      </c>
      <c r="CQ53" s="20">
        <v>2</v>
      </c>
      <c r="CR53" s="20">
        <v>1</v>
      </c>
      <c r="CS53" s="20">
        <v>15</v>
      </c>
      <c r="CT53" s="20">
        <v>2</v>
      </c>
      <c r="CU53" s="20">
        <v>6</v>
      </c>
      <c r="CV53" s="20">
        <v>11</v>
      </c>
      <c r="CW53" s="20">
        <v>3</v>
      </c>
      <c r="CX53" s="20">
        <v>1</v>
      </c>
      <c r="CY53" s="20">
        <v>3</v>
      </c>
      <c r="CZ53" s="20">
        <v>3</v>
      </c>
      <c r="DA53" s="20">
        <v>4</v>
      </c>
      <c r="DB53" s="20">
        <v>2</v>
      </c>
      <c r="DC53" s="20">
        <v>1</v>
      </c>
      <c r="DD53" s="20">
        <v>2</v>
      </c>
      <c r="DE53" s="20">
        <v>3</v>
      </c>
      <c r="DF53" s="20">
        <v>2</v>
      </c>
      <c r="DG53" s="20">
        <v>3</v>
      </c>
      <c r="DH53" s="20">
        <v>3</v>
      </c>
      <c r="DI53" s="20">
        <v>1</v>
      </c>
      <c r="DJ53" s="20">
        <v>6</v>
      </c>
      <c r="DK53" s="20">
        <v>5</v>
      </c>
      <c r="DL53" s="20">
        <v>9</v>
      </c>
      <c r="DM53" s="20">
        <v>1</v>
      </c>
      <c r="DN53" s="20">
        <v>1</v>
      </c>
      <c r="DO53" s="20">
        <v>1</v>
      </c>
      <c r="DP53" s="20">
        <v>1</v>
      </c>
      <c r="DQ53" s="20">
        <v>1</v>
      </c>
      <c r="DR53" s="20">
        <v>1</v>
      </c>
      <c r="DS53" s="20">
        <v>1</v>
      </c>
      <c r="DT53" s="20">
        <v>1</v>
      </c>
      <c r="DU53" s="20">
        <v>1</v>
      </c>
      <c r="DV53" s="20">
        <v>1</v>
      </c>
      <c r="DW53" s="20">
        <v>1</v>
      </c>
      <c r="DX53" s="20">
        <v>1</v>
      </c>
      <c r="DY53" s="20" t="s">
        <v>243</v>
      </c>
    </row>
    <row r="54" spans="1:129" ht="13">
      <c r="D54" s="9"/>
    </row>
    <row r="55" spans="1:129" ht="13">
      <c r="D55" s="9"/>
    </row>
    <row r="56" spans="1:129" ht="13">
      <c r="D56" s="9"/>
    </row>
    <row r="57" spans="1:129" ht="13">
      <c r="D57" s="9"/>
    </row>
    <row r="58" spans="1:129" ht="13">
      <c r="D58" s="9"/>
    </row>
    <row r="59" spans="1:129" ht="13">
      <c r="D59" s="9"/>
    </row>
    <row r="68" spans="4:4" ht="13">
      <c r="D68" s="7"/>
    </row>
    <row r="72" spans="4:4" ht="13">
      <c r="D72" s="9"/>
    </row>
    <row r="73" spans="4:4" ht="13">
      <c r="D73" s="3"/>
    </row>
    <row r="74" spans="4:4" ht="14">
      <c r="D74" s="10"/>
    </row>
    <row r="75" spans="4:4" ht="14">
      <c r="D75" s="8"/>
    </row>
    <row r="76" spans="4:4" ht="14">
      <c r="D76" s="8"/>
    </row>
    <row r="77" spans="4:4" ht="14">
      <c r="D77" s="8"/>
    </row>
    <row r="78" spans="4:4" ht="14">
      <c r="D78" s="12"/>
    </row>
    <row r="79" spans="4:4" ht="13">
      <c r="D79" s="3"/>
    </row>
    <row r="80" spans="4:4" ht="13">
      <c r="D80" s="2"/>
    </row>
    <row r="89" spans="4:4" ht="13">
      <c r="D89" s="7"/>
    </row>
    <row r="93" spans="4:4" ht="13">
      <c r="D93" s="9"/>
    </row>
    <row r="94" spans="4:4" ht="13">
      <c r="D94" s="3"/>
    </row>
    <row r="95" spans="4:4" ht="14">
      <c r="D95" s="10"/>
    </row>
    <row r="96" spans="4:4" ht="14">
      <c r="D96" s="8"/>
    </row>
    <row r="97" spans="4:4" ht="14">
      <c r="D97" s="8"/>
    </row>
    <row r="98" spans="4:4" ht="14">
      <c r="D98" s="8"/>
    </row>
    <row r="99" spans="4:4" ht="14">
      <c r="D99" s="12"/>
    </row>
    <row r="100" spans="4:4" ht="13">
      <c r="D100" s="3"/>
    </row>
    <row r="101" spans="4:4" ht="13">
      <c r="D101" s="2"/>
    </row>
    <row r="110" spans="4:4" ht="13">
      <c r="D110" s="7"/>
    </row>
    <row r="114" spans="4:4" ht="13">
      <c r="D114" s="9"/>
    </row>
    <row r="115" spans="4:4" ht="13">
      <c r="D115" s="3"/>
    </row>
    <row r="116" spans="4:4" ht="14">
      <c r="D116" s="10"/>
    </row>
    <row r="117" spans="4:4" ht="14">
      <c r="D117" s="8"/>
    </row>
    <row r="118" spans="4:4" ht="14">
      <c r="D118" s="8"/>
    </row>
    <row r="119" spans="4:4" ht="14">
      <c r="D119" s="8"/>
    </row>
    <row r="120" spans="4:4" ht="14">
      <c r="D120" s="12"/>
    </row>
    <row r="121" spans="4:4" ht="13">
      <c r="D121" s="3"/>
    </row>
    <row r="122" spans="4:4" ht="13">
      <c r="D122" s="2"/>
    </row>
    <row r="131" spans="4:4" ht="13">
      <c r="D131" s="7"/>
    </row>
    <row r="135" spans="4:4" ht="13">
      <c r="D135" s="9"/>
    </row>
    <row r="136" spans="4:4" ht="13">
      <c r="D136" s="3"/>
    </row>
    <row r="137" spans="4:4" ht="14">
      <c r="D137" s="10"/>
    </row>
    <row r="138" spans="4:4" ht="14">
      <c r="D138" s="8"/>
    </row>
    <row r="139" spans="4:4" ht="14">
      <c r="D139" s="8"/>
    </row>
    <row r="140" spans="4:4" ht="14">
      <c r="D140" s="8"/>
    </row>
    <row r="141" spans="4:4" ht="14">
      <c r="D141" s="12"/>
    </row>
    <row r="142" spans="4:4" ht="13">
      <c r="D142" s="3"/>
    </row>
    <row r="143" spans="4:4" ht="13">
      <c r="D143" s="2"/>
    </row>
    <row r="152" spans="4:4" ht="13">
      <c r="D152" s="7"/>
    </row>
    <row r="156" spans="4:4" ht="13">
      <c r="D156" s="9"/>
    </row>
    <row r="157" spans="4:4" ht="13">
      <c r="D157" s="3"/>
    </row>
    <row r="158" spans="4:4" ht="14">
      <c r="D158" s="10"/>
    </row>
    <row r="159" spans="4:4" ht="14">
      <c r="D159" s="8"/>
    </row>
    <row r="160" spans="4:4" ht="14">
      <c r="D160" s="8"/>
    </row>
    <row r="161" spans="4:4" ht="14">
      <c r="D161" s="8"/>
    </row>
    <row r="162" spans="4:4" ht="14">
      <c r="D162" s="12"/>
    </row>
    <row r="163" spans="4:4" ht="13">
      <c r="D163" s="3"/>
    </row>
    <row r="164" spans="4:4" ht="13">
      <c r="D164" s="2"/>
    </row>
    <row r="173" spans="4:4" ht="13">
      <c r="D173" s="7"/>
    </row>
    <row r="177" spans="4:4" ht="13">
      <c r="D177" s="9"/>
    </row>
    <row r="178" spans="4:4" ht="13">
      <c r="D178" s="3"/>
    </row>
    <row r="179" spans="4:4" ht="14">
      <c r="D179" s="10"/>
    </row>
    <row r="180" spans="4:4" ht="14">
      <c r="D180" s="8"/>
    </row>
    <row r="181" spans="4:4" ht="14">
      <c r="D181" s="8"/>
    </row>
    <row r="182" spans="4:4" ht="14">
      <c r="D182" s="8"/>
    </row>
    <row r="183" spans="4:4" ht="14">
      <c r="D183" s="12"/>
    </row>
    <row r="184" spans="4:4" ht="13">
      <c r="D184" s="3"/>
    </row>
    <row r="185" spans="4:4" ht="13">
      <c r="D185" s="2"/>
    </row>
    <row r="194" spans="4:4" ht="13">
      <c r="D194" s="7"/>
    </row>
    <row r="198" spans="4:4" ht="13">
      <c r="D198" s="9"/>
    </row>
    <row r="199" spans="4:4" ht="13">
      <c r="D199" s="3"/>
    </row>
    <row r="200" spans="4:4" ht="14">
      <c r="D200" s="10"/>
    </row>
    <row r="201" spans="4:4" ht="14">
      <c r="D201" s="8"/>
    </row>
    <row r="202" spans="4:4" ht="14">
      <c r="D202" s="8"/>
    </row>
    <row r="203" spans="4:4" ht="14">
      <c r="D203" s="8"/>
    </row>
    <row r="204" spans="4:4" ht="14">
      <c r="D204" s="12"/>
    </row>
    <row r="205" spans="4:4" ht="13">
      <c r="D205" s="3"/>
    </row>
    <row r="206" spans="4:4" ht="13">
      <c r="D206" s="2"/>
    </row>
    <row r="215" spans="4:4" ht="13">
      <c r="D215" s="7"/>
    </row>
    <row r="219" spans="4:4" ht="13">
      <c r="D219" s="9"/>
    </row>
    <row r="220" spans="4:4" ht="13">
      <c r="D220" s="3"/>
    </row>
    <row r="221" spans="4:4" ht="14">
      <c r="D221" s="10"/>
    </row>
    <row r="222" spans="4:4" ht="14">
      <c r="D222" s="8"/>
    </row>
    <row r="223" spans="4:4" ht="14">
      <c r="D223" s="8"/>
    </row>
    <row r="224" spans="4:4" ht="14">
      <c r="D224" s="8"/>
    </row>
    <row r="225" spans="4:4" ht="14">
      <c r="D225" s="12"/>
    </row>
    <row r="226" spans="4:4" ht="13">
      <c r="D226" s="3"/>
    </row>
    <row r="227" spans="4:4" ht="13">
      <c r="D227" s="2"/>
    </row>
    <row r="236" spans="4:4" ht="13">
      <c r="D236" s="7"/>
    </row>
    <row r="240" spans="4:4" ht="13">
      <c r="D240" s="9"/>
    </row>
    <row r="241" spans="4:4" ht="13">
      <c r="D241" s="3"/>
    </row>
    <row r="242" spans="4:4" ht="14">
      <c r="D242" s="10"/>
    </row>
    <row r="243" spans="4:4" ht="14">
      <c r="D243" s="8"/>
    </row>
    <row r="244" spans="4:4" ht="14">
      <c r="D244" s="8"/>
    </row>
    <row r="245" spans="4:4" ht="14">
      <c r="D245" s="8"/>
    </row>
    <row r="246" spans="4:4" ht="14">
      <c r="D246" s="12"/>
    </row>
    <row r="247" spans="4:4" ht="13">
      <c r="D247" s="3"/>
    </row>
    <row r="248" spans="4:4" ht="13">
      <c r="D248" s="2"/>
    </row>
    <row r="257" spans="4:4" ht="13">
      <c r="D257" s="7"/>
    </row>
    <row r="261" spans="4:4" ht="13">
      <c r="D261" s="9"/>
    </row>
    <row r="262" spans="4:4" ht="13">
      <c r="D262" s="3"/>
    </row>
    <row r="263" spans="4:4" ht="14">
      <c r="D263" s="10"/>
    </row>
    <row r="264" spans="4:4" ht="14">
      <c r="D264" s="8"/>
    </row>
    <row r="265" spans="4:4" ht="14">
      <c r="D265" s="8"/>
    </row>
    <row r="266" spans="4:4" ht="14">
      <c r="D266" s="8"/>
    </row>
    <row r="267" spans="4:4" ht="14">
      <c r="D267" s="12"/>
    </row>
    <row r="268" spans="4:4" ht="13">
      <c r="D268" s="3"/>
    </row>
    <row r="269" spans="4:4" ht="13">
      <c r="D269" s="2"/>
    </row>
    <row r="278" spans="4:4" ht="13">
      <c r="D278" s="7"/>
    </row>
    <row r="282" spans="4:4" ht="13">
      <c r="D282" s="9"/>
    </row>
    <row r="283" spans="4:4" ht="13">
      <c r="D283" s="3"/>
    </row>
    <row r="284" spans="4:4" ht="14">
      <c r="D284" s="10"/>
    </row>
    <row r="285" spans="4:4" ht="14">
      <c r="D285" s="8"/>
    </row>
    <row r="286" spans="4:4" ht="14">
      <c r="D286" s="8"/>
    </row>
    <row r="287" spans="4:4" ht="14">
      <c r="D287" s="8"/>
    </row>
    <row r="288" spans="4:4" ht="14">
      <c r="D288" s="12"/>
    </row>
    <row r="289" spans="4:4" ht="13">
      <c r="D289" s="3"/>
    </row>
    <row r="290" spans="4:4" ht="13">
      <c r="D290" s="2"/>
    </row>
    <row r="299" spans="4:4" ht="13">
      <c r="D299" s="7"/>
    </row>
    <row r="303" spans="4:4" ht="13">
      <c r="D303" s="9"/>
    </row>
    <row r="304" spans="4:4" ht="13">
      <c r="D304" s="3"/>
    </row>
    <row r="305" spans="4:4" ht="14">
      <c r="D305" s="10"/>
    </row>
    <row r="306" spans="4:4" ht="14">
      <c r="D306" s="8"/>
    </row>
    <row r="307" spans="4:4" ht="14">
      <c r="D307" s="8"/>
    </row>
    <row r="308" spans="4:4" ht="14">
      <c r="D308" s="8"/>
    </row>
    <row r="309" spans="4:4" ht="14">
      <c r="D309" s="12"/>
    </row>
    <row r="310" spans="4:4" ht="13">
      <c r="D310" s="3"/>
    </row>
    <row r="311" spans="4:4" ht="13">
      <c r="D311" s="2"/>
    </row>
    <row r="320" spans="4:4" ht="13">
      <c r="D320" s="7"/>
    </row>
    <row r="324" spans="4:4" ht="13">
      <c r="D324" s="9"/>
    </row>
    <row r="325" spans="4:4" ht="13">
      <c r="D325" s="3"/>
    </row>
    <row r="326" spans="4:4" ht="14">
      <c r="D326" s="10"/>
    </row>
    <row r="327" spans="4:4" ht="14">
      <c r="D327" s="8"/>
    </row>
    <row r="328" spans="4:4" ht="14">
      <c r="D328" s="8"/>
    </row>
    <row r="329" spans="4:4" ht="14">
      <c r="D329" s="8"/>
    </row>
    <row r="330" spans="4:4" ht="14">
      <c r="D330" s="12"/>
    </row>
    <row r="331" spans="4:4" ht="13">
      <c r="D331" s="3"/>
    </row>
    <row r="332" spans="4:4" ht="13">
      <c r="D332" s="2"/>
    </row>
    <row r="341" spans="4:4" ht="13">
      <c r="D341" s="7"/>
    </row>
    <row r="345" spans="4:4" ht="13">
      <c r="D345" s="9"/>
    </row>
    <row r="346" spans="4:4" ht="13">
      <c r="D346" s="3"/>
    </row>
    <row r="347" spans="4:4" ht="14">
      <c r="D347" s="10"/>
    </row>
    <row r="348" spans="4:4" ht="14">
      <c r="D348" s="8"/>
    </row>
    <row r="349" spans="4:4" ht="14">
      <c r="D349" s="8"/>
    </row>
    <row r="350" spans="4:4" ht="14">
      <c r="D350" s="8"/>
    </row>
    <row r="351" spans="4:4" ht="14">
      <c r="D351" s="12"/>
    </row>
    <row r="352" spans="4:4" ht="13">
      <c r="D352" s="3"/>
    </row>
    <row r="353" spans="4:4" ht="13">
      <c r="D353" s="2"/>
    </row>
    <row r="362" spans="4:4" ht="13">
      <c r="D362" s="7"/>
    </row>
    <row r="366" spans="4:4" ht="13">
      <c r="D366" s="9"/>
    </row>
    <row r="367" spans="4:4" ht="13">
      <c r="D367" s="3"/>
    </row>
    <row r="368" spans="4:4" ht="14">
      <c r="D368" s="10"/>
    </row>
    <row r="369" spans="4:4" ht="14">
      <c r="D369" s="8"/>
    </row>
    <row r="370" spans="4:4" ht="14">
      <c r="D370" s="8"/>
    </row>
    <row r="371" spans="4:4" ht="14">
      <c r="D371" s="8"/>
    </row>
    <row r="372" spans="4:4" ht="14">
      <c r="D372" s="12"/>
    </row>
    <row r="373" spans="4:4" ht="13">
      <c r="D373" s="3"/>
    </row>
    <row r="374" spans="4:4" ht="13">
      <c r="D374" s="2"/>
    </row>
    <row r="383" spans="4:4" ht="13">
      <c r="D383" s="7"/>
    </row>
    <row r="387" spans="4:4" ht="13">
      <c r="D387" s="9"/>
    </row>
    <row r="388" spans="4:4" ht="13">
      <c r="D388" s="3"/>
    </row>
    <row r="389" spans="4:4" ht="14">
      <c r="D389" s="10"/>
    </row>
    <row r="390" spans="4:4" ht="14">
      <c r="D390" s="8"/>
    </row>
    <row r="391" spans="4:4" ht="14">
      <c r="D391" s="8"/>
    </row>
    <row r="392" spans="4:4" ht="14">
      <c r="D392" s="8"/>
    </row>
    <row r="393" spans="4:4" ht="14">
      <c r="D393" s="12"/>
    </row>
    <row r="394" spans="4:4" ht="13">
      <c r="D394" s="3"/>
    </row>
    <row r="395" spans="4:4" ht="13">
      <c r="D395" s="2"/>
    </row>
    <row r="404" spans="4:4" ht="13">
      <c r="D404" s="7"/>
    </row>
    <row r="408" spans="4:4" ht="13">
      <c r="D408" s="9"/>
    </row>
    <row r="409" spans="4:4" ht="13">
      <c r="D409" s="3"/>
    </row>
    <row r="410" spans="4:4" ht="14">
      <c r="D410" s="10"/>
    </row>
    <row r="411" spans="4:4" ht="14">
      <c r="D411" s="8"/>
    </row>
    <row r="412" spans="4:4" ht="14">
      <c r="D412" s="8"/>
    </row>
    <row r="413" spans="4:4" ht="14">
      <c r="D413" s="8"/>
    </row>
    <row r="414" spans="4:4" ht="14">
      <c r="D414" s="12"/>
    </row>
    <row r="415" spans="4:4" ht="13">
      <c r="D415" s="3"/>
    </row>
    <row r="416" spans="4:4" ht="13">
      <c r="D416" s="2"/>
    </row>
    <row r="425" spans="4:4" ht="13">
      <c r="D425" s="7"/>
    </row>
    <row r="429" spans="4:4" ht="13">
      <c r="D429" s="9"/>
    </row>
    <row r="430" spans="4:4" ht="13">
      <c r="D430" s="3"/>
    </row>
    <row r="431" spans="4:4" ht="14">
      <c r="D431" s="10"/>
    </row>
    <row r="432" spans="4:4" ht="14">
      <c r="D432" s="8"/>
    </row>
    <row r="433" spans="4:4" ht="14">
      <c r="D433" s="8"/>
    </row>
    <row r="434" spans="4:4" ht="14">
      <c r="D434" s="8"/>
    </row>
    <row r="435" spans="4:4" ht="14">
      <c r="D435" s="12"/>
    </row>
    <row r="436" spans="4:4" ht="13">
      <c r="D436" s="3"/>
    </row>
    <row r="437" spans="4:4" ht="13">
      <c r="D437" s="2"/>
    </row>
    <row r="446" spans="4:4" ht="13">
      <c r="D446" s="7"/>
    </row>
    <row r="450" spans="4:4" ht="13">
      <c r="D450" s="9"/>
    </row>
    <row r="451" spans="4:4" ht="13">
      <c r="D451" s="3"/>
    </row>
    <row r="452" spans="4:4" ht="14">
      <c r="D452" s="10"/>
    </row>
    <row r="453" spans="4:4" ht="14">
      <c r="D453" s="8"/>
    </row>
    <row r="454" spans="4:4" ht="14">
      <c r="D454" s="8"/>
    </row>
    <row r="455" spans="4:4" ht="14">
      <c r="D455" s="8"/>
    </row>
    <row r="456" spans="4:4" ht="14">
      <c r="D456" s="12"/>
    </row>
    <row r="457" spans="4:4" ht="13">
      <c r="D457" s="3"/>
    </row>
    <row r="458" spans="4:4" ht="13">
      <c r="D458" s="2"/>
    </row>
    <row r="467" spans="4:4" ht="13">
      <c r="D467" s="7"/>
    </row>
    <row r="471" spans="4:4" ht="13">
      <c r="D471" s="9"/>
    </row>
    <row r="472" spans="4:4" ht="13">
      <c r="D472" s="3"/>
    </row>
    <row r="473" spans="4:4" ht="14">
      <c r="D473" s="10"/>
    </row>
    <row r="474" spans="4:4" ht="14">
      <c r="D474" s="8"/>
    </row>
    <row r="475" spans="4:4" ht="14">
      <c r="D475" s="8"/>
    </row>
    <row r="476" spans="4:4" ht="14">
      <c r="D476" s="8"/>
    </row>
    <row r="477" spans="4:4" ht="14">
      <c r="D477" s="12"/>
    </row>
    <row r="478" spans="4:4" ht="13">
      <c r="D478" s="3"/>
    </row>
    <row r="479" spans="4:4" ht="13">
      <c r="D479" s="2"/>
    </row>
    <row r="488" spans="4:4" ht="13">
      <c r="D488" s="7"/>
    </row>
    <row r="492" spans="4:4" ht="13">
      <c r="D492" s="9"/>
    </row>
    <row r="493" spans="4:4" ht="13">
      <c r="D493" s="3"/>
    </row>
    <row r="494" spans="4:4" ht="14">
      <c r="D494" s="10"/>
    </row>
    <row r="495" spans="4:4" ht="14">
      <c r="D495" s="8"/>
    </row>
    <row r="496" spans="4:4" ht="14">
      <c r="D496" s="8"/>
    </row>
    <row r="497" spans="4:4" ht="14">
      <c r="D497" s="8"/>
    </row>
    <row r="498" spans="4:4" ht="14">
      <c r="D498" s="12"/>
    </row>
    <row r="499" spans="4:4" ht="13">
      <c r="D499" s="3"/>
    </row>
    <row r="500" spans="4:4" ht="13">
      <c r="D500" s="2"/>
    </row>
    <row r="509" spans="4:4" ht="13">
      <c r="D509" s="7"/>
    </row>
    <row r="513" spans="4:4" ht="13">
      <c r="D513" s="9"/>
    </row>
    <row r="514" spans="4:4" ht="13">
      <c r="D514" s="3"/>
    </row>
    <row r="515" spans="4:4" ht="14">
      <c r="D515" s="10"/>
    </row>
    <row r="516" spans="4:4" ht="14">
      <c r="D516" s="8"/>
    </row>
    <row r="517" spans="4:4" ht="14">
      <c r="D517" s="8"/>
    </row>
    <row r="518" spans="4:4" ht="14">
      <c r="D518" s="8"/>
    </row>
    <row r="519" spans="4:4" ht="14">
      <c r="D519" s="12"/>
    </row>
    <row r="520" spans="4:4" ht="13">
      <c r="D520" s="3"/>
    </row>
    <row r="521" spans="4:4" ht="13">
      <c r="D521" s="2"/>
    </row>
    <row r="530" spans="4:4" ht="13">
      <c r="D530" s="7"/>
    </row>
    <row r="534" spans="4:4" ht="13">
      <c r="D534" s="9"/>
    </row>
    <row r="535" spans="4:4" ht="13">
      <c r="D535" s="3"/>
    </row>
    <row r="536" spans="4:4" ht="14">
      <c r="D536" s="10"/>
    </row>
    <row r="537" spans="4:4" ht="14">
      <c r="D537" s="8"/>
    </row>
    <row r="538" spans="4:4" ht="14">
      <c r="D538" s="8"/>
    </row>
    <row r="539" spans="4:4" ht="14">
      <c r="D539" s="8"/>
    </row>
    <row r="540" spans="4:4" ht="14">
      <c r="D540" s="12"/>
    </row>
    <row r="541" spans="4:4" ht="13">
      <c r="D541" s="3"/>
    </row>
    <row r="542" spans="4:4" ht="13">
      <c r="D542" s="2"/>
    </row>
    <row r="551" spans="4:4" ht="13">
      <c r="D551" s="7"/>
    </row>
    <row r="555" spans="4:4" ht="13">
      <c r="D555" s="9"/>
    </row>
    <row r="556" spans="4:4" ht="13">
      <c r="D556" s="3"/>
    </row>
    <row r="557" spans="4:4" ht="14">
      <c r="D557" s="10"/>
    </row>
    <row r="558" spans="4:4" ht="14">
      <c r="D558" s="8"/>
    </row>
    <row r="559" spans="4:4" ht="14">
      <c r="D559" s="8"/>
    </row>
    <row r="560" spans="4:4" ht="14">
      <c r="D560" s="8"/>
    </row>
    <row r="561" spans="4:4" ht="14">
      <c r="D561" s="12"/>
    </row>
    <row r="562" spans="4:4" ht="13">
      <c r="D562" s="3"/>
    </row>
    <row r="563" spans="4:4" ht="13">
      <c r="D563" s="2"/>
    </row>
    <row r="572" spans="4:4" ht="13">
      <c r="D572" s="7"/>
    </row>
    <row r="576" spans="4:4" ht="13">
      <c r="D576" s="9"/>
    </row>
    <row r="577" spans="4:4" ht="13">
      <c r="D577" s="3"/>
    </row>
    <row r="578" spans="4:4" ht="14">
      <c r="D578" s="10"/>
    </row>
    <row r="579" spans="4:4" ht="14">
      <c r="D579" s="8"/>
    </row>
    <row r="580" spans="4:4" ht="14">
      <c r="D580" s="8"/>
    </row>
    <row r="581" spans="4:4" ht="14">
      <c r="D581" s="8"/>
    </row>
    <row r="582" spans="4:4" ht="14">
      <c r="D582" s="12"/>
    </row>
    <row r="583" spans="4:4" ht="13">
      <c r="D583" s="3"/>
    </row>
    <row r="584" spans="4:4" ht="13">
      <c r="D584" s="2"/>
    </row>
    <row r="593" spans="4:4" ht="13">
      <c r="D593" s="7"/>
    </row>
    <row r="597" spans="4:4" ht="13">
      <c r="D597" s="9"/>
    </row>
    <row r="598" spans="4:4" ht="13">
      <c r="D598" s="3"/>
    </row>
    <row r="599" spans="4:4" ht="14">
      <c r="D599" s="10"/>
    </row>
    <row r="600" spans="4:4" ht="14">
      <c r="D600" s="8"/>
    </row>
    <row r="601" spans="4:4" ht="14">
      <c r="D601" s="8"/>
    </row>
    <row r="602" spans="4:4" ht="14">
      <c r="D602" s="8"/>
    </row>
    <row r="603" spans="4:4" ht="14">
      <c r="D603" s="12"/>
    </row>
    <row r="604" spans="4:4" ht="13">
      <c r="D604" s="3"/>
    </row>
    <row r="605" spans="4:4" ht="13">
      <c r="D605" s="2"/>
    </row>
    <row r="614" spans="4:4" ht="13">
      <c r="D614" s="7"/>
    </row>
    <row r="618" spans="4:4" ht="13">
      <c r="D618" s="9"/>
    </row>
    <row r="619" spans="4:4" ht="13">
      <c r="D619" s="3"/>
    </row>
    <row r="620" spans="4:4" ht="14">
      <c r="D620" s="10"/>
    </row>
    <row r="621" spans="4:4" ht="14">
      <c r="D621" s="8"/>
    </row>
    <row r="622" spans="4:4" ht="14">
      <c r="D622" s="8"/>
    </row>
    <row r="623" spans="4:4" ht="14">
      <c r="D623" s="8"/>
    </row>
    <row r="624" spans="4:4" ht="14">
      <c r="D624" s="12"/>
    </row>
    <row r="625" spans="4:4" ht="13">
      <c r="D625" s="3"/>
    </row>
    <row r="626" spans="4:4" ht="13">
      <c r="D626" s="2"/>
    </row>
    <row r="635" spans="4:4" ht="13">
      <c r="D635" s="7"/>
    </row>
    <row r="639" spans="4:4" ht="13">
      <c r="D639" s="9"/>
    </row>
    <row r="640" spans="4:4" ht="13">
      <c r="D640" s="3"/>
    </row>
    <row r="641" spans="4:4" ht="14">
      <c r="D641" s="10"/>
    </row>
    <row r="642" spans="4:4" ht="14">
      <c r="D642" s="8"/>
    </row>
    <row r="643" spans="4:4" ht="14">
      <c r="D643" s="8"/>
    </row>
    <row r="644" spans="4:4" ht="14">
      <c r="D644" s="8"/>
    </row>
    <row r="645" spans="4:4" ht="14">
      <c r="D645" s="12"/>
    </row>
    <row r="646" spans="4:4" ht="13">
      <c r="D646" s="3"/>
    </row>
    <row r="647" spans="4:4" ht="13">
      <c r="D647" s="2"/>
    </row>
    <row r="656" spans="4:4" ht="13">
      <c r="D656" s="7"/>
    </row>
    <row r="660" spans="4:4" ht="13">
      <c r="D660" s="9"/>
    </row>
    <row r="661" spans="4:4" ht="13">
      <c r="D661" s="3"/>
    </row>
    <row r="662" spans="4:4" ht="14">
      <c r="D662" s="10"/>
    </row>
    <row r="663" spans="4:4" ht="14">
      <c r="D663" s="8"/>
    </row>
    <row r="664" spans="4:4" ht="14">
      <c r="D664" s="8"/>
    </row>
    <row r="665" spans="4:4" ht="14">
      <c r="D665" s="8"/>
    </row>
    <row r="666" spans="4:4" ht="14">
      <c r="D666" s="12"/>
    </row>
    <row r="667" spans="4:4" ht="13">
      <c r="D667" s="3"/>
    </row>
    <row r="668" spans="4:4" ht="13">
      <c r="D668" s="2"/>
    </row>
    <row r="677" spans="4:4" ht="13">
      <c r="D677" s="7"/>
    </row>
    <row r="681" spans="4:4" ht="13">
      <c r="D681" s="9"/>
    </row>
    <row r="682" spans="4:4" ht="13">
      <c r="D682" s="3"/>
    </row>
    <row r="683" spans="4:4" ht="14">
      <c r="D683" s="10"/>
    </row>
    <row r="684" spans="4:4" ht="14">
      <c r="D684" s="8"/>
    </row>
    <row r="685" spans="4:4" ht="14">
      <c r="D685" s="8"/>
    </row>
    <row r="686" spans="4:4" ht="14">
      <c r="D686" s="8"/>
    </row>
    <row r="687" spans="4:4" ht="14">
      <c r="D687" s="12"/>
    </row>
    <row r="688" spans="4:4" ht="13">
      <c r="D688" s="3"/>
    </row>
    <row r="689" spans="4:4" ht="13">
      <c r="D689" s="2"/>
    </row>
    <row r="698" spans="4:4" ht="13">
      <c r="D698" s="7"/>
    </row>
    <row r="702" spans="4:4" ht="13">
      <c r="D702" s="9"/>
    </row>
    <row r="703" spans="4:4" ht="13">
      <c r="D703" s="3"/>
    </row>
    <row r="704" spans="4:4" ht="14">
      <c r="D704" s="10"/>
    </row>
    <row r="705" spans="4:4" ht="14">
      <c r="D705" s="8"/>
    </row>
    <row r="706" spans="4:4" ht="14">
      <c r="D706" s="8"/>
    </row>
    <row r="707" spans="4:4" ht="14">
      <c r="D707" s="8"/>
    </row>
    <row r="708" spans="4:4" ht="14">
      <c r="D708" s="12"/>
    </row>
    <row r="709" spans="4:4" ht="13">
      <c r="D709" s="3"/>
    </row>
    <row r="710" spans="4:4" ht="13">
      <c r="D710" s="2"/>
    </row>
    <row r="719" spans="4:4" ht="13">
      <c r="D719" s="7"/>
    </row>
    <row r="723" spans="4:4" ht="13">
      <c r="D723" s="9"/>
    </row>
    <row r="724" spans="4:4" ht="13">
      <c r="D724" s="3"/>
    </row>
    <row r="725" spans="4:4" ht="14">
      <c r="D725" s="10"/>
    </row>
    <row r="726" spans="4:4" ht="14">
      <c r="D726" s="8"/>
    </row>
    <row r="727" spans="4:4" ht="14">
      <c r="D727" s="8"/>
    </row>
    <row r="728" spans="4:4" ht="14">
      <c r="D728" s="8"/>
    </row>
    <row r="729" spans="4:4" ht="14">
      <c r="D729" s="12"/>
    </row>
    <row r="730" spans="4:4" ht="13">
      <c r="D730" s="3"/>
    </row>
    <row r="731" spans="4:4" ht="13">
      <c r="D731" s="2"/>
    </row>
    <row r="740" spans="4:4" ht="13">
      <c r="D740" s="7"/>
    </row>
    <row r="744" spans="4:4" ht="13">
      <c r="D744" s="9"/>
    </row>
    <row r="745" spans="4:4" ht="13">
      <c r="D745" s="3"/>
    </row>
    <row r="746" spans="4:4" ht="14">
      <c r="D746" s="10"/>
    </row>
    <row r="747" spans="4:4" ht="14">
      <c r="D747" s="8"/>
    </row>
    <row r="748" spans="4:4" ht="14">
      <c r="D748" s="8"/>
    </row>
    <row r="749" spans="4:4" ht="14">
      <c r="D749" s="8"/>
    </row>
    <row r="750" spans="4:4" ht="14">
      <c r="D750" s="12"/>
    </row>
    <row r="751" spans="4:4" ht="13">
      <c r="D751" s="3"/>
    </row>
    <row r="752" spans="4:4" ht="13">
      <c r="D752" s="2"/>
    </row>
    <row r="761" spans="4:4" ht="13">
      <c r="D761" s="7"/>
    </row>
    <row r="765" spans="4:4" ht="13">
      <c r="D765" s="9"/>
    </row>
    <row r="766" spans="4:4" ht="13">
      <c r="D766" s="3"/>
    </row>
    <row r="767" spans="4:4" ht="14">
      <c r="D767" s="10"/>
    </row>
    <row r="768" spans="4:4" ht="14">
      <c r="D768" s="8"/>
    </row>
    <row r="769" spans="4:4" ht="14">
      <c r="D769" s="8"/>
    </row>
    <row r="770" spans="4:4" ht="14">
      <c r="D770" s="8"/>
    </row>
    <row r="771" spans="4:4" ht="14">
      <c r="D771" s="12"/>
    </row>
    <row r="772" spans="4:4" ht="13">
      <c r="D772" s="3"/>
    </row>
    <row r="773" spans="4:4" ht="13">
      <c r="D773" s="2"/>
    </row>
    <row r="782" spans="4:4" ht="13">
      <c r="D782" s="7"/>
    </row>
    <row r="786" spans="4:4" ht="13">
      <c r="D786" s="9"/>
    </row>
    <row r="787" spans="4:4" ht="13">
      <c r="D787" s="3"/>
    </row>
    <row r="788" spans="4:4" ht="14">
      <c r="D788" s="10"/>
    </row>
    <row r="789" spans="4:4" ht="14">
      <c r="D789" s="8"/>
    </row>
    <row r="790" spans="4:4" ht="14">
      <c r="D790" s="8"/>
    </row>
    <row r="791" spans="4:4" ht="14">
      <c r="D791" s="8"/>
    </row>
    <row r="792" spans="4:4" ht="14">
      <c r="D792" s="12"/>
    </row>
    <row r="793" spans="4:4" ht="13">
      <c r="D793" s="3"/>
    </row>
    <row r="794" spans="4:4" ht="13">
      <c r="D794" s="2"/>
    </row>
    <row r="803" spans="4:4" ht="13">
      <c r="D803" s="7"/>
    </row>
    <row r="807" spans="4:4" ht="13">
      <c r="D807" s="9"/>
    </row>
    <row r="808" spans="4:4" ht="13">
      <c r="D808" s="3"/>
    </row>
    <row r="809" spans="4:4" ht="14">
      <c r="D809" s="10"/>
    </row>
    <row r="810" spans="4:4" ht="14">
      <c r="D810" s="8"/>
    </row>
    <row r="811" spans="4:4" ht="14">
      <c r="D811" s="8"/>
    </row>
    <row r="812" spans="4:4" ht="14">
      <c r="D812" s="8"/>
    </row>
    <row r="813" spans="4:4" ht="14">
      <c r="D813" s="12"/>
    </row>
    <row r="814" spans="4:4" ht="13">
      <c r="D814" s="3"/>
    </row>
    <row r="815" spans="4:4" ht="13">
      <c r="D815" s="2"/>
    </row>
    <row r="824" spans="4:4" ht="13">
      <c r="D824" s="7"/>
    </row>
    <row r="828" spans="4:4" ht="13">
      <c r="D828" s="9"/>
    </row>
    <row r="829" spans="4:4" ht="13">
      <c r="D829" s="3"/>
    </row>
    <row r="830" spans="4:4" ht="14">
      <c r="D830" s="10"/>
    </row>
    <row r="831" spans="4:4" ht="14">
      <c r="D831" s="8"/>
    </row>
    <row r="832" spans="4:4" ht="14">
      <c r="D832" s="8"/>
    </row>
    <row r="833" spans="4:4" ht="14">
      <c r="D833" s="8"/>
    </row>
    <row r="834" spans="4:4" ht="14">
      <c r="D834" s="12"/>
    </row>
    <row r="835" spans="4:4" ht="13">
      <c r="D835" s="3"/>
    </row>
    <row r="836" spans="4:4" ht="13">
      <c r="D836" s="2"/>
    </row>
    <row r="845" spans="4:4" ht="13">
      <c r="D845" s="7"/>
    </row>
    <row r="849" spans="4:4" ht="13">
      <c r="D849" s="9"/>
    </row>
    <row r="850" spans="4:4" ht="13">
      <c r="D850" s="3"/>
    </row>
    <row r="851" spans="4:4" ht="14">
      <c r="D851" s="10"/>
    </row>
    <row r="852" spans="4:4" ht="14">
      <c r="D852" s="8"/>
    </row>
    <row r="853" spans="4:4" ht="14">
      <c r="D853" s="8"/>
    </row>
    <row r="854" spans="4:4" ht="14">
      <c r="D854" s="8"/>
    </row>
    <row r="855" spans="4:4" ht="14">
      <c r="D855" s="12"/>
    </row>
    <row r="856" spans="4:4" ht="13">
      <c r="D856" s="3"/>
    </row>
    <row r="857" spans="4:4" ht="13">
      <c r="D857" s="2"/>
    </row>
    <row r="866" spans="4:4" ht="13">
      <c r="D866" s="7"/>
    </row>
    <row r="870" spans="4:4" ht="13">
      <c r="D870" s="9"/>
    </row>
    <row r="871" spans="4:4" ht="13">
      <c r="D871" s="3"/>
    </row>
    <row r="872" spans="4:4" ht="14">
      <c r="D872" s="10"/>
    </row>
    <row r="873" spans="4:4" ht="14">
      <c r="D873" s="8"/>
    </row>
    <row r="874" spans="4:4" ht="14">
      <c r="D874" s="8"/>
    </row>
    <row r="875" spans="4:4" ht="14">
      <c r="D875" s="8"/>
    </row>
    <row r="876" spans="4:4" ht="14">
      <c r="D876" s="12"/>
    </row>
    <row r="877" spans="4:4" ht="13">
      <c r="D877" s="3"/>
    </row>
    <row r="878" spans="4:4" ht="13">
      <c r="D878" s="2"/>
    </row>
    <row r="887" spans="4:4" ht="13">
      <c r="D887" s="7"/>
    </row>
    <row r="891" spans="4:4" ht="13">
      <c r="D891" s="9"/>
    </row>
    <row r="892" spans="4:4" ht="13">
      <c r="D892" s="3"/>
    </row>
    <row r="893" spans="4:4" ht="14">
      <c r="D893" s="10"/>
    </row>
    <row r="894" spans="4:4" ht="14">
      <c r="D894" s="8"/>
    </row>
    <row r="895" spans="4:4" ht="14">
      <c r="D895" s="8"/>
    </row>
    <row r="896" spans="4:4" ht="14">
      <c r="D896" s="8"/>
    </row>
    <row r="897" spans="4:4" ht="14">
      <c r="D897" s="12"/>
    </row>
    <row r="898" spans="4:4" ht="13">
      <c r="D898" s="3"/>
    </row>
    <row r="899" spans="4:4" ht="13">
      <c r="D899" s="2"/>
    </row>
    <row r="908" spans="4:4" ht="13">
      <c r="D908" s="7"/>
    </row>
    <row r="912" spans="4:4" ht="13">
      <c r="D912" s="9"/>
    </row>
    <row r="913" spans="4:4" ht="13">
      <c r="D913" s="3"/>
    </row>
    <row r="914" spans="4:4" ht="14">
      <c r="D914" s="10"/>
    </row>
    <row r="915" spans="4:4" ht="14">
      <c r="D915" s="8"/>
    </row>
    <row r="916" spans="4:4" ht="14">
      <c r="D916" s="8"/>
    </row>
    <row r="917" spans="4:4" ht="14">
      <c r="D917" s="8"/>
    </row>
    <row r="918" spans="4:4" ht="14">
      <c r="D918" s="12"/>
    </row>
    <row r="919" spans="4:4" ht="13">
      <c r="D919" s="3"/>
    </row>
    <row r="920" spans="4:4" ht="13">
      <c r="D920" s="2"/>
    </row>
    <row r="929" spans="4:4" ht="13">
      <c r="D929" s="7"/>
    </row>
    <row r="933" spans="4:4" ht="13">
      <c r="D933" s="9"/>
    </row>
    <row r="934" spans="4:4" ht="13">
      <c r="D934" s="3"/>
    </row>
    <row r="935" spans="4:4" ht="14">
      <c r="D935" s="10"/>
    </row>
    <row r="936" spans="4:4" ht="14">
      <c r="D936" s="8"/>
    </row>
    <row r="937" spans="4:4" ht="14">
      <c r="D937" s="8"/>
    </row>
    <row r="938" spans="4:4" ht="14">
      <c r="D938" s="8"/>
    </row>
    <row r="939" spans="4:4" ht="14">
      <c r="D939" s="12"/>
    </row>
    <row r="940" spans="4:4" ht="13">
      <c r="D940" s="3"/>
    </row>
    <row r="941" spans="4:4" ht="13">
      <c r="D941" s="2"/>
    </row>
    <row r="950" spans="4:4" ht="13">
      <c r="D950" s="7"/>
    </row>
    <row r="954" spans="4:4" ht="13">
      <c r="D954" s="9"/>
    </row>
    <row r="955" spans="4:4" ht="13">
      <c r="D955" s="3"/>
    </row>
    <row r="956" spans="4:4" ht="14">
      <c r="D956" s="10"/>
    </row>
    <row r="957" spans="4:4" ht="14">
      <c r="D957" s="8"/>
    </row>
    <row r="958" spans="4:4" ht="14">
      <c r="D958" s="8"/>
    </row>
    <row r="959" spans="4:4" ht="14">
      <c r="D959" s="8"/>
    </row>
    <row r="960" spans="4:4" ht="14">
      <c r="D960" s="12"/>
    </row>
    <row r="961" spans="4:4" ht="13">
      <c r="D961" s="3"/>
    </row>
    <row r="962" spans="4:4" ht="13">
      <c r="D962" s="2"/>
    </row>
    <row r="971" spans="4:4" ht="13">
      <c r="D971" s="7"/>
    </row>
    <row r="975" spans="4:4" ht="13">
      <c r="D975" s="9"/>
    </row>
    <row r="976" spans="4:4" ht="13">
      <c r="D976" s="3"/>
    </row>
    <row r="977" spans="4:4" ht="14">
      <c r="D977" s="10"/>
    </row>
    <row r="978" spans="4:4" ht="14">
      <c r="D978" s="8"/>
    </row>
    <row r="979" spans="4:4" ht="14">
      <c r="D979" s="8"/>
    </row>
    <row r="980" spans="4:4" ht="14">
      <c r="D980" s="8"/>
    </row>
    <row r="981" spans="4:4" ht="14">
      <c r="D981" s="12"/>
    </row>
    <row r="982" spans="4:4" ht="13">
      <c r="D98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 Sari</cp:lastModifiedBy>
  <cp:lastPrinted>2023-01-04T11:55:09Z</cp:lastPrinted>
  <dcterms:created xsi:type="dcterms:W3CDTF">2023-01-04T11:57:30Z</dcterms:created>
  <dcterms:modified xsi:type="dcterms:W3CDTF">2023-01-05T14:44:00Z</dcterms:modified>
</cp:coreProperties>
</file>